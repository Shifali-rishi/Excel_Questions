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d.docs.live.net/6743546b90761a27/Documents/"/>
    </mc:Choice>
  </mc:AlternateContent>
  <xr:revisionPtr revIDLastSave="0" documentId="8_{100F5ECE-D831-4768-8F83-896B696FD188}" xr6:coauthVersionLast="36" xr6:coauthVersionMax="36" xr10:uidLastSave="{00000000-0000-0000-0000-000000000000}"/>
  <bookViews>
    <workbookView xWindow="0" yWindow="0" windowWidth="21570" windowHeight="9495" xr2:uid="{7F818628-619B-4414-AA02-418BD3068651}"/>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54" i="1"/>
  <c r="J3" i="1"/>
  <c r="J4" i="1"/>
  <c r="J5" i="1"/>
  <c r="J6" i="1"/>
  <c r="J7" i="1"/>
  <c r="J8" i="1"/>
  <c r="J9" i="1"/>
  <c r="J2" i="1"/>
  <c r="K3" i="1"/>
  <c r="K4" i="1"/>
  <c r="K5" i="1"/>
  <c r="K6" i="1"/>
  <c r="K7" i="1"/>
  <c r="K8" i="1"/>
  <c r="K9" i="1"/>
  <c r="K2" i="1"/>
  <c r="B63" i="1"/>
  <c r="B45" i="1"/>
  <c r="B40" i="1"/>
  <c r="B34" i="1"/>
  <c r="I3" i="1"/>
  <c r="I4" i="1"/>
  <c r="I5" i="1"/>
  <c r="I6" i="1"/>
  <c r="I7" i="1"/>
  <c r="I8" i="1"/>
  <c r="I9" i="1"/>
  <c r="I2" i="1"/>
  <c r="B28" i="1"/>
  <c r="H3" i="1"/>
  <c r="H4" i="1"/>
  <c r="H5" i="1"/>
  <c r="H6" i="1"/>
  <c r="H7" i="1"/>
  <c r="H8" i="1"/>
  <c r="H9" i="1"/>
  <c r="H2" i="1"/>
  <c r="B19" i="1"/>
</calcChain>
</file>

<file path=xl/sharedStrings.xml><?xml version="1.0" encoding="utf-8"?>
<sst xmlns="http://schemas.openxmlformats.org/spreadsheetml/2006/main" count="52" uniqueCount="36">
  <si>
    <t>Emp_ID</t>
  </si>
  <si>
    <t>Emp_name</t>
  </si>
  <si>
    <t>Amit</t>
  </si>
  <si>
    <t>Neha</t>
  </si>
  <si>
    <t>Ravi</t>
  </si>
  <si>
    <t>Simran</t>
  </si>
  <si>
    <t>Karan</t>
  </si>
  <si>
    <t>Priya</t>
  </si>
  <si>
    <t>Mohit</t>
  </si>
  <si>
    <t>Pooja</t>
  </si>
  <si>
    <t>Dept</t>
  </si>
  <si>
    <t>Salary</t>
  </si>
  <si>
    <t>Monthly Sales</t>
  </si>
  <si>
    <t>Performance Rating</t>
  </si>
  <si>
    <t>Sales</t>
  </si>
  <si>
    <t>HR</t>
  </si>
  <si>
    <t>IT</t>
  </si>
  <si>
    <t>Excellent</t>
  </si>
  <si>
    <t>Good</t>
  </si>
  <si>
    <t>Average</t>
  </si>
  <si>
    <t>QUESTIONS</t>
  </si>
  <si>
    <r>
      <rPr>
        <b/>
        <sz val="12"/>
        <color theme="1"/>
        <rFont val="Calibri"/>
        <family val="2"/>
        <scheme val="minor"/>
      </rPr>
      <t>Q1.</t>
    </r>
    <r>
      <rPr>
        <sz val="11"/>
        <color theme="1"/>
        <rFont val="Calibri"/>
        <family val="2"/>
        <scheme val="minor"/>
      </rPr>
      <t xml:space="preserve">  The management wants to identify employees eligible for a quarterly performance bonus. An
employee will be considered eligible only if the employee has achieved sales greater than
₹80,000 and has attendance above 90%. However, employees with an “Excellent” performance
rating should also be considered eligible even if one of the above conditions is not satisfied.
Write a formula using IF, AND, and OR to display either “Bonus Eligible” or “Not Eligible”.</t>
    </r>
  </si>
  <si>
    <t xml:space="preserve">Ans </t>
  </si>
  <si>
    <t>Bonus Eligible</t>
  </si>
  <si>
    <r>
      <rPr>
        <b/>
        <sz val="12"/>
        <color theme="1"/>
        <rFont val="Calibri"/>
        <family val="2"/>
        <scheme val="minor"/>
      </rPr>
      <t>Q2.</t>
    </r>
    <r>
      <rPr>
        <sz val="11"/>
        <color theme="1"/>
        <rFont val="Calibri"/>
        <family val="2"/>
        <scheme val="minor"/>
      </rPr>
      <t xml:space="preserve">  The HR department wants to classify employees based on their salary structure. Create a
formula that displays:
● “High Income Group” if salary is greater than ₹65,000
● “Medium Income Group” if salary is between ₹50,000 and ₹65,000
● “Basic Income Group” for all remaining employees.
Use nested IF statements.</t>
    </r>
  </si>
  <si>
    <t>Ans</t>
  </si>
  <si>
    <t>Income Group</t>
  </si>
  <si>
    <r>
      <rPr>
        <b/>
        <sz val="12"/>
        <color theme="1"/>
        <rFont val="Calibri"/>
        <family val="2"/>
        <scheme val="minor"/>
      </rPr>
      <t>Q4.</t>
    </r>
    <r>
      <rPr>
        <sz val="11"/>
        <color theme="1"/>
        <rFont val="Calibri"/>
        <family val="2"/>
        <scheme val="minor"/>
      </rPr>
      <t xml:space="preserve">  The company wants to know how many employees have attendance greater than 90% because
those employees are eligible for an attendance reward program. Use COUNTIF formula to find
the total number of such employees.</t>
    </r>
  </si>
  <si>
    <r>
      <rPr>
        <b/>
        <sz val="12"/>
        <color theme="1"/>
        <rFont val="Calibri"/>
        <family val="2"/>
        <scheme val="minor"/>
      </rPr>
      <t xml:space="preserve">Q3.  </t>
    </r>
    <r>
      <rPr>
        <sz val="11"/>
        <color theme="1"/>
        <rFont val="Calibri"/>
        <family val="2"/>
        <scheme val="minor"/>
      </rPr>
      <t>The finance department wants to calculate the total salary expense for employees working in
the IT department only. Use an appropriate SUMIF formula to calculate the total amount paid to
the IT department employees.</t>
    </r>
  </si>
  <si>
    <r>
      <rPr>
        <b/>
        <sz val="12"/>
        <color theme="1"/>
        <rFont val="Calibri"/>
        <family val="2"/>
        <scheme val="minor"/>
      </rPr>
      <t xml:space="preserve">Q5. </t>
    </r>
    <r>
      <rPr>
        <sz val="11"/>
        <color theme="1"/>
        <rFont val="Calibri"/>
        <family val="2"/>
        <scheme val="minor"/>
      </rPr>
      <t xml:space="preserve"> The sales manager wants to calculate the average monthly sales of employees who achieved
sales above ₹75,000. Use AVERAGEIF formula to determine the required average.</t>
    </r>
  </si>
  <si>
    <r>
      <rPr>
        <b/>
        <sz val="12"/>
        <color theme="1"/>
        <rFont val="Calibri"/>
        <family val="2"/>
        <scheme val="minor"/>
      </rPr>
      <t xml:space="preserve">Q6. </t>
    </r>
    <r>
      <rPr>
        <sz val="11"/>
        <color theme="1"/>
        <rFont val="Calibri"/>
        <family val="2"/>
        <scheme val="minor"/>
      </rPr>
      <t xml:space="preserve"> Create a formula to identify “Top Performers” in the organization. An employee should be
marked as a “Top Performer” if:
● Salary is greater than ₹60,000
● AND sales are above ₹90,000
● OR performance rating is “Excellent” with attendance above 95%.
Use a combination of IF, AND, and OR.</t>
    </r>
  </si>
  <si>
    <r>
      <rPr>
        <b/>
        <sz val="12"/>
        <color theme="1"/>
        <rFont val="Calibri"/>
        <family val="2"/>
        <scheme val="minor"/>
      </rPr>
      <t>Q7.</t>
    </r>
    <r>
      <rPr>
        <sz val="11"/>
        <color theme="1"/>
        <rFont val="Calibri"/>
        <family val="2"/>
        <scheme val="minor"/>
      </rPr>
      <t xml:space="preserve">  The company wants to categorize employee performance according to monthly sales:
● Sales above ₹1,00,000 → “Outstanding”
● Sales between ₹75,000 and ₹1,00,000 → “Very Good”
● Sales between ₹50,000 and ₹75,000 → “Good”
● Below ₹50,000 → “Needs Improvement”
Use nested IF statements.</t>
    </r>
  </si>
  <si>
    <t>Performance Status</t>
  </si>
  <si>
    <t>Emp_Category</t>
  </si>
  <si>
    <r>
      <rPr>
        <b/>
        <sz val="12"/>
        <color theme="1"/>
        <rFont val="Calibri"/>
        <family val="2"/>
        <scheme val="minor"/>
      </rPr>
      <t>Q8.</t>
    </r>
    <r>
      <rPr>
        <sz val="11"/>
        <color theme="1"/>
        <rFont val="Calibri"/>
        <family val="2"/>
        <scheme val="minor"/>
      </rPr>
      <t xml:space="preserve">  The HR manager wants to calculate the total number of employees whose performance rating is
“Excellent”. Use COUNTIF formula for the calculation and display the result in a separate
summary section.</t>
    </r>
  </si>
  <si>
    <t>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</si>
</sst>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i/>
      <u/>
      <sz val="16"/>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left" wrapText="1"/>
    </xf>
    <xf numFmtId="0" fontId="0" fillId="0" borderId="0" xfId="0" applyAlignment="1">
      <alignment horizontal="left"/>
    </xf>
    <xf numFmtId="0" fontId="0" fillId="0" borderId="0" xfId="0" applyAlignment="1">
      <alignment horizontal="left"/>
    </xf>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horizontal="center"/>
    </xf>
    <xf numFmtId="0" fontId="2" fillId="0" borderId="0" xfId="0" applyFont="1"/>
    <xf numFmtId="0" fontId="2" fillId="0" borderId="0" xfId="0" applyFont="1" applyAlignment="1">
      <alignment horizontal="left" vertical="top" wrapText="1"/>
    </xf>
    <xf numFmtId="0" fontId="0" fillId="0" borderId="0" xfId="0" applyFont="1" applyAlignment="1">
      <alignment horizontal="left" vertical="top" wrapText="1"/>
    </xf>
    <xf numFmtId="0" fontId="2" fillId="0"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86942-A937-4934-BEFC-D4687CD417CD}">
  <dimension ref="A1:V69"/>
  <sheetViews>
    <sheetView tabSelected="1" workbookViewId="0">
      <selection activeCell="M1" sqref="M1"/>
    </sheetView>
  </sheetViews>
  <sheetFormatPr defaultRowHeight="15" x14ac:dyDescent="0.25"/>
  <cols>
    <col min="2" max="2" width="21.7109375" bestFit="1" customWidth="1"/>
    <col min="5" max="5" width="15" bestFit="1" customWidth="1"/>
    <col min="6" max="6" width="14.85546875" bestFit="1" customWidth="1"/>
    <col min="7" max="7" width="20.7109375" bestFit="1" customWidth="1"/>
    <col min="8" max="8" width="14.7109375" bestFit="1" customWidth="1"/>
    <col min="9" max="9" width="21.7109375" bestFit="1" customWidth="1"/>
    <col min="10" max="10" width="20.5703125" bestFit="1" customWidth="1"/>
    <col min="11" max="11" width="19.5703125" bestFit="1" customWidth="1"/>
  </cols>
  <sheetData>
    <row r="1" spans="1:22" ht="15.75" x14ac:dyDescent="0.25">
      <c r="A1" s="10" t="s">
        <v>0</v>
      </c>
      <c r="B1" s="10" t="s">
        <v>1</v>
      </c>
      <c r="C1" s="10" t="s">
        <v>10</v>
      </c>
      <c r="D1" s="10" t="s">
        <v>11</v>
      </c>
      <c r="E1" s="10" t="s">
        <v>12</v>
      </c>
      <c r="F1" s="10" t="s">
        <v>35</v>
      </c>
      <c r="G1" s="10" t="s">
        <v>13</v>
      </c>
      <c r="H1" s="10" t="s">
        <v>23</v>
      </c>
      <c r="I1" s="10" t="s">
        <v>26</v>
      </c>
      <c r="J1" s="10" t="s">
        <v>32</v>
      </c>
      <c r="K1" s="10" t="s">
        <v>33</v>
      </c>
    </row>
    <row r="2" spans="1:22" x14ac:dyDescent="0.25">
      <c r="A2" s="3">
        <v>101</v>
      </c>
      <c r="B2" s="3" t="s">
        <v>2</v>
      </c>
      <c r="C2" s="3" t="s">
        <v>14</v>
      </c>
      <c r="D2" s="3">
        <v>55000</v>
      </c>
      <c r="E2" s="3">
        <v>85000</v>
      </c>
      <c r="F2" s="3">
        <v>92</v>
      </c>
      <c r="G2" s="3" t="s">
        <v>17</v>
      </c>
      <c r="H2" s="3" t="str">
        <f>IF(OR(AND(E2&gt;80000,F2&gt;90),G2="Excellent"),"Bonus Eligible","Not Eligible")</f>
        <v>Bonus Eligible</v>
      </c>
      <c r="I2" s="3" t="str">
        <f>IF(D2&gt;65000,"High Income Group",IF(AND(D2&gt;50000,D2&lt;65000),"Medium Income Group","Basic Income Group"))</f>
        <v>Medium Income Group</v>
      </c>
      <c r="J2" s="3" t="str">
        <f>IF(OR(AND(D2&gt;60000,E2&gt;90000),G2="Excellent",F2&gt;95),"Top Performer","Average Performer")</f>
        <v>Top Performer</v>
      </c>
      <c r="K2" s="3" t="str">
        <f>IF(E2&gt;100000,"Outstanding",IF(AND(E2&gt;75000,E2&lt;100000),"Very Good",IF(AND(E2&gt;50000,E2&lt;75000),"Good","Needs Improvement")))</f>
        <v>Very Good</v>
      </c>
    </row>
    <row r="3" spans="1:22" x14ac:dyDescent="0.25">
      <c r="A3" s="3">
        <v>102</v>
      </c>
      <c r="B3" s="3" t="s">
        <v>3</v>
      </c>
      <c r="C3" s="3" t="s">
        <v>15</v>
      </c>
      <c r="D3" s="3">
        <v>42000</v>
      </c>
      <c r="E3" s="3">
        <v>30000</v>
      </c>
      <c r="F3" s="3">
        <v>88</v>
      </c>
      <c r="G3" s="3" t="s">
        <v>18</v>
      </c>
      <c r="H3" s="3" t="str">
        <f t="shared" ref="H3:H9" si="0">IF(OR(AND(E3&gt;80000,F3&gt;90),G3="Excellent"),"Bonus Eligible","Not Eligible")</f>
        <v>Not Eligible</v>
      </c>
      <c r="I3" s="3" t="str">
        <f t="shared" ref="I3:I9" si="1">IF(D3&gt;65000,"High Income Group",IF(AND(D3&gt;50000,D3&lt;65000),"Medium Income Group","Basic Income Group"))</f>
        <v>Basic Income Group</v>
      </c>
      <c r="J3" s="3" t="str">
        <f t="shared" ref="J3:J9" si="2">IF(OR(AND(D3&gt;60000,E3&gt;90000),G3="Excellent",F3&gt;95),"Top Performer","Average Performer")</f>
        <v>Average Performer</v>
      </c>
      <c r="K3" s="3" t="str">
        <f t="shared" ref="K3:K9" si="3">IF(E3&gt;100000,"Outstanding",IF(AND(E3&gt;75000,E3&lt;100000),"Very Good",IF(AND(E3&gt;50000,E3&lt;75000),"Good","Needs Improvement")))</f>
        <v>Needs Improvement</v>
      </c>
    </row>
    <row r="4" spans="1:22" x14ac:dyDescent="0.25">
      <c r="A4" s="3">
        <v>103</v>
      </c>
      <c r="B4" s="3" t="s">
        <v>4</v>
      </c>
      <c r="C4" s="3" t="s">
        <v>16</v>
      </c>
      <c r="D4" s="3">
        <v>65000</v>
      </c>
      <c r="E4" s="3">
        <v>95000</v>
      </c>
      <c r="F4" s="3">
        <v>96</v>
      </c>
      <c r="G4" s="3" t="s">
        <v>17</v>
      </c>
      <c r="H4" s="3" t="str">
        <f t="shared" si="0"/>
        <v>Bonus Eligible</v>
      </c>
      <c r="I4" s="3" t="str">
        <f t="shared" si="1"/>
        <v>Basic Income Group</v>
      </c>
      <c r="J4" s="3" t="str">
        <f t="shared" si="2"/>
        <v>Top Performer</v>
      </c>
      <c r="K4" s="3" t="str">
        <f t="shared" si="3"/>
        <v>Very Good</v>
      </c>
    </row>
    <row r="5" spans="1:22" x14ac:dyDescent="0.25">
      <c r="A5" s="3">
        <v>104</v>
      </c>
      <c r="B5" s="3" t="s">
        <v>5</v>
      </c>
      <c r="C5" s="3" t="s">
        <v>14</v>
      </c>
      <c r="D5" s="3">
        <v>48000</v>
      </c>
      <c r="E5" s="3">
        <v>72000</v>
      </c>
      <c r="F5" s="3">
        <v>85</v>
      </c>
      <c r="G5" s="3" t="s">
        <v>19</v>
      </c>
      <c r="H5" s="3" t="str">
        <f t="shared" si="0"/>
        <v>Not Eligible</v>
      </c>
      <c r="I5" s="3" t="str">
        <f t="shared" si="1"/>
        <v>Basic Income Group</v>
      </c>
      <c r="J5" s="3" t="str">
        <f t="shared" si="2"/>
        <v>Average Performer</v>
      </c>
      <c r="K5" s="3" t="str">
        <f t="shared" si="3"/>
        <v>Good</v>
      </c>
    </row>
    <row r="6" spans="1:22" x14ac:dyDescent="0.25">
      <c r="A6" s="3">
        <v>105</v>
      </c>
      <c r="B6" s="3" t="s">
        <v>6</v>
      </c>
      <c r="C6" s="3" t="s">
        <v>16</v>
      </c>
      <c r="D6" s="3">
        <v>70000</v>
      </c>
      <c r="E6" s="3">
        <v>105000</v>
      </c>
      <c r="F6" s="3">
        <v>98</v>
      </c>
      <c r="G6" s="3" t="s">
        <v>17</v>
      </c>
      <c r="H6" s="3" t="str">
        <f t="shared" si="0"/>
        <v>Bonus Eligible</v>
      </c>
      <c r="I6" s="3" t="str">
        <f t="shared" si="1"/>
        <v>High Income Group</v>
      </c>
      <c r="J6" s="3" t="str">
        <f t="shared" si="2"/>
        <v>Top Performer</v>
      </c>
      <c r="K6" s="3" t="str">
        <f t="shared" si="3"/>
        <v>Outstanding</v>
      </c>
    </row>
    <row r="7" spans="1:22" x14ac:dyDescent="0.25">
      <c r="A7" s="3">
        <v>106</v>
      </c>
      <c r="B7" s="3" t="s">
        <v>7</v>
      </c>
      <c r="C7" s="3" t="s">
        <v>15</v>
      </c>
      <c r="D7" s="3">
        <v>39000</v>
      </c>
      <c r="E7" s="3">
        <v>25000</v>
      </c>
      <c r="F7" s="3">
        <v>91</v>
      </c>
      <c r="G7" s="3" t="s">
        <v>18</v>
      </c>
      <c r="H7" s="3" t="str">
        <f t="shared" si="0"/>
        <v>Not Eligible</v>
      </c>
      <c r="I7" s="3" t="str">
        <f t="shared" si="1"/>
        <v>Basic Income Group</v>
      </c>
      <c r="J7" s="3" t="str">
        <f t="shared" si="2"/>
        <v>Average Performer</v>
      </c>
      <c r="K7" s="3" t="str">
        <f t="shared" si="3"/>
        <v>Needs Improvement</v>
      </c>
    </row>
    <row r="8" spans="1:22" x14ac:dyDescent="0.25">
      <c r="A8" s="3">
        <v>107</v>
      </c>
      <c r="B8" s="3" t="s">
        <v>8</v>
      </c>
      <c r="C8" s="3" t="s">
        <v>14</v>
      </c>
      <c r="D8" s="3">
        <v>52000</v>
      </c>
      <c r="E8" s="3">
        <v>68000</v>
      </c>
      <c r="F8" s="3">
        <v>89</v>
      </c>
      <c r="G8" s="3" t="s">
        <v>18</v>
      </c>
      <c r="H8" s="3" t="str">
        <f t="shared" si="0"/>
        <v>Not Eligible</v>
      </c>
      <c r="I8" s="3" t="str">
        <f t="shared" si="1"/>
        <v>Medium Income Group</v>
      </c>
      <c r="J8" s="3" t="str">
        <f t="shared" si="2"/>
        <v>Average Performer</v>
      </c>
      <c r="K8" s="3" t="str">
        <f t="shared" si="3"/>
        <v>Good</v>
      </c>
    </row>
    <row r="9" spans="1:22" x14ac:dyDescent="0.25">
      <c r="A9" s="3">
        <v>108</v>
      </c>
      <c r="B9" s="3" t="s">
        <v>9</v>
      </c>
      <c r="C9" s="3" t="s">
        <v>16</v>
      </c>
      <c r="D9" s="3">
        <v>61000</v>
      </c>
      <c r="E9" s="3">
        <v>88000</v>
      </c>
      <c r="F9" s="3">
        <v>94</v>
      </c>
      <c r="G9" s="3" t="s">
        <v>17</v>
      </c>
      <c r="H9" s="3" t="str">
        <f t="shared" si="0"/>
        <v>Bonus Eligible</v>
      </c>
      <c r="I9" s="3" t="str">
        <f t="shared" si="1"/>
        <v>Medium Income Group</v>
      </c>
      <c r="J9" s="3" t="str">
        <f t="shared" si="2"/>
        <v>Top Performer</v>
      </c>
      <c r="K9" s="3" t="str">
        <f t="shared" si="3"/>
        <v>Very Good</v>
      </c>
    </row>
    <row r="11" spans="1:22" ht="21" x14ac:dyDescent="0.35">
      <c r="A11" s="6" t="s">
        <v>20</v>
      </c>
      <c r="B11" s="6"/>
    </row>
    <row r="13" spans="1:22" ht="15" customHeight="1" x14ac:dyDescent="0.25">
      <c r="A13" s="4" t="s">
        <v>21</v>
      </c>
      <c r="B13" s="4"/>
      <c r="C13" s="4"/>
      <c r="D13" s="4"/>
      <c r="E13" s="4"/>
      <c r="F13" s="4"/>
      <c r="G13" s="4"/>
      <c r="H13" s="4"/>
      <c r="J13" s="5"/>
      <c r="K13" s="5"/>
      <c r="L13" s="5"/>
      <c r="M13" s="5"/>
      <c r="N13" s="5"/>
      <c r="O13" s="5"/>
      <c r="P13" s="5"/>
      <c r="Q13" s="5"/>
      <c r="R13" s="5"/>
      <c r="S13" s="5"/>
      <c r="T13" s="5"/>
      <c r="U13" s="5"/>
      <c r="V13" s="5"/>
    </row>
    <row r="14" spans="1:22" x14ac:dyDescent="0.25">
      <c r="A14" s="4"/>
      <c r="B14" s="4"/>
      <c r="C14" s="4"/>
      <c r="D14" s="4"/>
      <c r="E14" s="4"/>
      <c r="F14" s="4"/>
      <c r="G14" s="4"/>
      <c r="H14" s="4"/>
      <c r="J14" s="5"/>
      <c r="K14" s="5"/>
      <c r="L14" s="5"/>
      <c r="M14" s="5"/>
      <c r="N14" s="5"/>
      <c r="O14" s="5"/>
      <c r="P14" s="5"/>
      <c r="Q14" s="5"/>
      <c r="R14" s="5"/>
      <c r="S14" s="5"/>
      <c r="T14" s="5"/>
      <c r="U14" s="5"/>
      <c r="V14" s="5"/>
    </row>
    <row r="15" spans="1:22" x14ac:dyDescent="0.25">
      <c r="A15" s="4"/>
      <c r="B15" s="4"/>
      <c r="C15" s="4"/>
      <c r="D15" s="4"/>
      <c r="E15" s="4"/>
      <c r="F15" s="4"/>
      <c r="G15" s="4"/>
      <c r="H15" s="4"/>
      <c r="J15" s="5"/>
      <c r="K15" s="5"/>
      <c r="L15" s="5"/>
      <c r="M15" s="5"/>
      <c r="N15" s="5"/>
      <c r="O15" s="5"/>
      <c r="P15" s="5"/>
      <c r="Q15" s="5"/>
      <c r="R15" s="5"/>
      <c r="S15" s="5"/>
      <c r="T15" s="5"/>
      <c r="U15" s="5"/>
      <c r="V15" s="5"/>
    </row>
    <row r="16" spans="1:22" x14ac:dyDescent="0.25">
      <c r="A16" s="4"/>
      <c r="B16" s="4"/>
      <c r="C16" s="4"/>
      <c r="D16" s="4"/>
      <c r="E16" s="4"/>
      <c r="F16" s="4"/>
      <c r="G16" s="4"/>
      <c r="H16" s="4"/>
      <c r="J16" s="5"/>
      <c r="K16" s="5"/>
      <c r="L16" s="5"/>
      <c r="M16" s="5"/>
      <c r="N16" s="5"/>
      <c r="O16" s="5"/>
      <c r="P16" s="5"/>
      <c r="Q16" s="5"/>
      <c r="R16" s="5"/>
      <c r="S16" s="5"/>
      <c r="T16" s="5"/>
      <c r="U16" s="5"/>
      <c r="V16" s="5"/>
    </row>
    <row r="17" spans="1:22" x14ac:dyDescent="0.25">
      <c r="A17" s="4"/>
      <c r="B17" s="4"/>
      <c r="C17" s="4"/>
      <c r="D17" s="4"/>
      <c r="E17" s="4"/>
      <c r="F17" s="4"/>
      <c r="G17" s="4"/>
      <c r="H17" s="4"/>
      <c r="J17" s="5"/>
      <c r="K17" s="5"/>
      <c r="L17" s="5"/>
      <c r="M17" s="5"/>
      <c r="N17" s="5"/>
      <c r="O17" s="5"/>
      <c r="P17" s="5"/>
      <c r="Q17" s="5"/>
      <c r="R17" s="5"/>
      <c r="S17" s="5"/>
      <c r="T17" s="5"/>
      <c r="U17" s="5"/>
      <c r="V17" s="5"/>
    </row>
    <row r="18" spans="1:22" x14ac:dyDescent="0.25">
      <c r="J18" s="5"/>
      <c r="K18" s="5"/>
      <c r="L18" s="5"/>
      <c r="M18" s="5"/>
      <c r="N18" s="5"/>
      <c r="O18" s="5"/>
      <c r="P18" s="5"/>
      <c r="Q18" s="5"/>
      <c r="R18" s="5"/>
      <c r="S18" s="5"/>
      <c r="T18" s="5"/>
      <c r="U18" s="5"/>
      <c r="V18" s="5"/>
    </row>
    <row r="19" spans="1:22" ht="15.75" x14ac:dyDescent="0.25">
      <c r="A19" s="7" t="s">
        <v>22</v>
      </c>
      <c r="B19" t="str">
        <f>IF(OR(AND(E2&gt;80000,F2&gt;90),G2="Excellent"),"Bonus Eligible","Not Eligible")</f>
        <v>Bonus Eligible</v>
      </c>
    </row>
    <row r="21" spans="1:22" ht="15.75" customHeight="1" x14ac:dyDescent="0.25">
      <c r="A21" s="9" t="s">
        <v>24</v>
      </c>
      <c r="B21" s="8"/>
      <c r="C21" s="8"/>
      <c r="D21" s="8"/>
      <c r="E21" s="8"/>
      <c r="F21" s="8"/>
      <c r="G21" s="8"/>
      <c r="H21" s="8"/>
    </row>
    <row r="22" spans="1:22" ht="15" customHeight="1" x14ac:dyDescent="0.25">
      <c r="A22" s="8"/>
      <c r="B22" s="8"/>
      <c r="C22" s="8"/>
      <c r="D22" s="8"/>
      <c r="E22" s="8"/>
      <c r="F22" s="8"/>
      <c r="G22" s="8"/>
      <c r="H22" s="8"/>
    </row>
    <row r="23" spans="1:22" ht="15" customHeight="1" x14ac:dyDescent="0.25">
      <c r="A23" s="8"/>
      <c r="B23" s="8"/>
      <c r="C23" s="8"/>
      <c r="D23" s="8"/>
      <c r="E23" s="8"/>
      <c r="F23" s="8"/>
      <c r="G23" s="8"/>
      <c r="H23" s="8"/>
    </row>
    <row r="24" spans="1:22" ht="15" customHeight="1" x14ac:dyDescent="0.25">
      <c r="A24" s="8"/>
      <c r="B24" s="8"/>
      <c r="C24" s="8"/>
      <c r="D24" s="8"/>
      <c r="E24" s="8"/>
      <c r="F24" s="8"/>
      <c r="G24" s="8"/>
      <c r="H24" s="8"/>
    </row>
    <row r="25" spans="1:22" x14ac:dyDescent="0.25">
      <c r="A25" s="8"/>
      <c r="B25" s="8"/>
      <c r="C25" s="8"/>
      <c r="D25" s="8"/>
      <c r="E25" s="8"/>
      <c r="F25" s="8"/>
      <c r="G25" s="8"/>
      <c r="H25" s="8"/>
    </row>
    <row r="26" spans="1:22" x14ac:dyDescent="0.25">
      <c r="A26" s="8"/>
      <c r="B26" s="8"/>
      <c r="C26" s="8"/>
      <c r="D26" s="8"/>
      <c r="E26" s="8"/>
      <c r="F26" s="8"/>
      <c r="G26" s="8"/>
      <c r="H26" s="8"/>
    </row>
    <row r="28" spans="1:22" ht="15.75" x14ac:dyDescent="0.25">
      <c r="A28" s="7" t="s">
        <v>25</v>
      </c>
      <c r="B28" t="str">
        <f>IF(D2&gt;65000,"High Income Group",IF(AND(D2&gt;50000,D2&lt;65000),"Medium Income Group","Basic Income Group"))</f>
        <v>Medium Income Group</v>
      </c>
    </row>
    <row r="30" spans="1:22" ht="15" customHeight="1" x14ac:dyDescent="0.25">
      <c r="A30" s="1" t="s">
        <v>28</v>
      </c>
      <c r="B30" s="1"/>
      <c r="C30" s="1"/>
      <c r="D30" s="1"/>
      <c r="E30" s="1"/>
      <c r="F30" s="1"/>
      <c r="G30" s="1"/>
      <c r="H30" s="1"/>
    </row>
    <row r="31" spans="1:22" x14ac:dyDescent="0.25">
      <c r="A31" s="1"/>
      <c r="B31" s="1"/>
      <c r="C31" s="1"/>
      <c r="D31" s="1"/>
      <c r="E31" s="1"/>
      <c r="F31" s="1"/>
      <c r="G31" s="1"/>
      <c r="H31" s="1"/>
    </row>
    <row r="32" spans="1:22" x14ac:dyDescent="0.25">
      <c r="A32" s="1"/>
      <c r="B32" s="1"/>
      <c r="C32" s="1"/>
      <c r="D32" s="1"/>
      <c r="E32" s="1"/>
      <c r="F32" s="1"/>
      <c r="G32" s="1"/>
      <c r="H32" s="1"/>
    </row>
    <row r="34" spans="1:7" ht="15.75" x14ac:dyDescent="0.25">
      <c r="A34" s="7" t="s">
        <v>25</v>
      </c>
      <c r="B34" s="3">
        <f>SUMIF(C2:C9,"IT",D2:D9)</f>
        <v>196000</v>
      </c>
    </row>
    <row r="36" spans="1:7" x14ac:dyDescent="0.25">
      <c r="A36" s="1" t="s">
        <v>27</v>
      </c>
      <c r="B36" s="2"/>
      <c r="C36" s="2"/>
      <c r="D36" s="2"/>
      <c r="E36" s="2"/>
      <c r="F36" s="2"/>
      <c r="G36" s="2"/>
    </row>
    <row r="37" spans="1:7" x14ac:dyDescent="0.25">
      <c r="A37" s="2"/>
      <c r="B37" s="2"/>
      <c r="C37" s="2"/>
      <c r="D37" s="2"/>
      <c r="E37" s="2"/>
      <c r="F37" s="2"/>
      <c r="G37" s="2"/>
    </row>
    <row r="38" spans="1:7" x14ac:dyDescent="0.25">
      <c r="A38" s="2"/>
      <c r="B38" s="2"/>
      <c r="C38" s="2"/>
      <c r="D38" s="2"/>
      <c r="E38" s="2"/>
      <c r="F38" s="2"/>
      <c r="G38" s="2"/>
    </row>
    <row r="40" spans="1:7" ht="15.75" x14ac:dyDescent="0.25">
      <c r="A40" s="7" t="s">
        <v>25</v>
      </c>
      <c r="B40" s="3">
        <f>COUNTIF(F2:F9,"&gt;90")</f>
        <v>5</v>
      </c>
    </row>
    <row r="42" spans="1:7" x14ac:dyDescent="0.25">
      <c r="A42" s="1" t="s">
        <v>29</v>
      </c>
      <c r="B42" s="2"/>
      <c r="C42" s="2"/>
      <c r="D42" s="2"/>
      <c r="E42" s="2"/>
      <c r="F42" s="2"/>
      <c r="G42" s="2"/>
    </row>
    <row r="43" spans="1:7" x14ac:dyDescent="0.25">
      <c r="A43" s="2"/>
      <c r="B43" s="2"/>
      <c r="C43" s="2"/>
      <c r="D43" s="2"/>
      <c r="E43" s="2"/>
      <c r="F43" s="2"/>
      <c r="G43" s="2"/>
    </row>
    <row r="45" spans="1:7" ht="15.75" x14ac:dyDescent="0.25">
      <c r="A45" s="7" t="s">
        <v>25</v>
      </c>
      <c r="B45" s="3">
        <f>AVERAGEIF(E2:E9,"&gt;75000")</f>
        <v>93250</v>
      </c>
    </row>
    <row r="47" spans="1:7" ht="15" customHeight="1" x14ac:dyDescent="0.25">
      <c r="A47" s="1" t="s">
        <v>30</v>
      </c>
      <c r="B47" s="1"/>
      <c r="C47" s="1"/>
      <c r="D47" s="1"/>
      <c r="E47" s="1"/>
      <c r="F47" s="1"/>
      <c r="G47" s="1"/>
    </row>
    <row r="48" spans="1:7" x14ac:dyDescent="0.25">
      <c r="A48" s="1"/>
      <c r="B48" s="1"/>
      <c r="C48" s="1"/>
      <c r="D48" s="1"/>
      <c r="E48" s="1"/>
      <c r="F48" s="1"/>
      <c r="G48" s="1"/>
    </row>
    <row r="49" spans="1:7" x14ac:dyDescent="0.25">
      <c r="A49" s="1"/>
      <c r="B49" s="1"/>
      <c r="C49" s="1"/>
      <c r="D49" s="1"/>
      <c r="E49" s="1"/>
      <c r="F49" s="1"/>
      <c r="G49" s="1"/>
    </row>
    <row r="50" spans="1:7" x14ac:dyDescent="0.25">
      <c r="A50" s="1"/>
      <c r="B50" s="1"/>
      <c r="C50" s="1"/>
      <c r="D50" s="1"/>
      <c r="E50" s="1"/>
      <c r="F50" s="1"/>
      <c r="G50" s="1"/>
    </row>
    <row r="51" spans="1:7" x14ac:dyDescent="0.25">
      <c r="A51" s="1"/>
      <c r="B51" s="1"/>
      <c r="C51" s="1"/>
      <c r="D51" s="1"/>
      <c r="E51" s="1"/>
      <c r="F51" s="1"/>
      <c r="G51" s="1"/>
    </row>
    <row r="52" spans="1:7" x14ac:dyDescent="0.25">
      <c r="A52" s="1"/>
      <c r="B52" s="1"/>
      <c r="C52" s="1"/>
      <c r="D52" s="1"/>
      <c r="E52" s="1"/>
      <c r="F52" s="1"/>
      <c r="G52" s="1"/>
    </row>
    <row r="54" spans="1:7" ht="15.75" x14ac:dyDescent="0.25">
      <c r="A54" s="7" t="s">
        <v>25</v>
      </c>
      <c r="B54" t="str">
        <f>IF(OR(AND(D2&gt;60000,E2&gt;90000),G2="Excellent",F2&gt;95),"Top Performer","Average Performer")</f>
        <v>Top Performer</v>
      </c>
    </row>
    <row r="56" spans="1:7" x14ac:dyDescent="0.25">
      <c r="A56" s="1" t="s">
        <v>31</v>
      </c>
      <c r="B56" s="2"/>
      <c r="C56" s="2"/>
      <c r="D56" s="2"/>
      <c r="E56" s="2"/>
      <c r="F56" s="2"/>
      <c r="G56" s="2"/>
    </row>
    <row r="57" spans="1:7" x14ac:dyDescent="0.25">
      <c r="A57" s="2"/>
      <c r="B57" s="2"/>
      <c r="C57" s="2"/>
      <c r="D57" s="2"/>
      <c r="E57" s="2"/>
      <c r="F57" s="2"/>
      <c r="G57" s="2"/>
    </row>
    <row r="58" spans="1:7" x14ac:dyDescent="0.25">
      <c r="A58" s="2"/>
      <c r="B58" s="2"/>
      <c r="C58" s="2"/>
      <c r="D58" s="2"/>
      <c r="E58" s="2"/>
      <c r="F58" s="2"/>
      <c r="G58" s="2"/>
    </row>
    <row r="59" spans="1:7" x14ac:dyDescent="0.25">
      <c r="A59" s="2"/>
      <c r="B59" s="2"/>
      <c r="C59" s="2"/>
      <c r="D59" s="2"/>
      <c r="E59" s="2"/>
      <c r="F59" s="2"/>
      <c r="G59" s="2"/>
    </row>
    <row r="60" spans="1:7" x14ac:dyDescent="0.25">
      <c r="A60" s="2"/>
      <c r="B60" s="2"/>
      <c r="C60" s="2"/>
      <c r="D60" s="2"/>
      <c r="E60" s="2"/>
      <c r="F60" s="2"/>
      <c r="G60" s="2"/>
    </row>
    <row r="61" spans="1:7" x14ac:dyDescent="0.25">
      <c r="A61" s="2"/>
      <c r="B61" s="2"/>
      <c r="C61" s="2"/>
      <c r="D61" s="2"/>
      <c r="E61" s="2"/>
      <c r="F61" s="2"/>
      <c r="G61" s="2"/>
    </row>
    <row r="63" spans="1:7" ht="15.75" x14ac:dyDescent="0.25">
      <c r="A63" s="7" t="s">
        <v>25</v>
      </c>
      <c r="B63" t="str">
        <f>IF(E2&gt;100000,"Outstanding",IF(AND(E2&gt;75000,E2&lt;100000),"Very Good",IF(AND(E2&gt;50000,E2&lt;75000),"Good","Needs Improvement")))</f>
        <v>Very Good</v>
      </c>
    </row>
    <row r="65" spans="1:7" x14ac:dyDescent="0.25">
      <c r="A65" s="1" t="s">
        <v>34</v>
      </c>
      <c r="B65" s="2"/>
      <c r="C65" s="2"/>
      <c r="D65" s="2"/>
      <c r="E65" s="2"/>
      <c r="F65" s="2"/>
      <c r="G65" s="2"/>
    </row>
    <row r="66" spans="1:7" x14ac:dyDescent="0.25">
      <c r="A66" s="2"/>
      <c r="B66" s="2"/>
      <c r="C66" s="2"/>
      <c r="D66" s="2"/>
      <c r="E66" s="2"/>
      <c r="F66" s="2"/>
      <c r="G66" s="2"/>
    </row>
    <row r="67" spans="1:7" x14ac:dyDescent="0.25">
      <c r="A67" s="2"/>
      <c r="B67" s="2"/>
      <c r="C67" s="2"/>
      <c r="D67" s="2"/>
      <c r="E67" s="2"/>
      <c r="F67" s="2"/>
      <c r="G67" s="2"/>
    </row>
    <row r="69" spans="1:7" ht="15.75" x14ac:dyDescent="0.25">
      <c r="A69" s="7" t="s">
        <v>25</v>
      </c>
      <c r="B69" s="3">
        <f>COUNTIF(G2:G9,"Excellent")</f>
        <v>4</v>
      </c>
    </row>
  </sheetData>
  <mergeCells count="9">
    <mergeCell ref="A56:G61"/>
    <mergeCell ref="A65:G67"/>
    <mergeCell ref="A30:H32"/>
    <mergeCell ref="A36:G38"/>
    <mergeCell ref="A42:G43"/>
    <mergeCell ref="A47:G52"/>
    <mergeCell ref="A13:H17"/>
    <mergeCell ref="A21:H26"/>
    <mergeCell ref="A11:B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2026-05-26T16:30:10Z</dcterms:created>
  <dcterms:modified xsi:type="dcterms:W3CDTF">2026-05-26T17:34:19Z</dcterms:modified>
</cp:coreProperties>
</file>