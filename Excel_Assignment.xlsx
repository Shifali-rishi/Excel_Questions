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https://d.docs.live.net/6743546B90761A27/Documents/"/>
    </mc:Choice>
  </mc:AlternateContent>
  <xr:revisionPtr revIDLastSave="5" documentId="13_ncr:1_{3CD22226-73F7-4C64-808A-5E3A4C1DDBFA}" xr6:coauthVersionLast="36" xr6:coauthVersionMax="36" xr10:uidLastSave="{B14752BC-B517-45BE-8084-DFE5E55461FA}"/>
  <bookViews>
    <workbookView xWindow="0" yWindow="0" windowWidth="21570" windowHeight="9495" xr2:uid="{7F818628-619B-4414-AA02-418BD3068651}"/>
  </bookViews>
  <sheets>
    <sheet name="Task_1" sheetId="1" r:id="rId1"/>
    <sheet name="Task_2" sheetId="2" r:id="rId2"/>
    <sheet name="Task_3" sheetId="3" r:id="rId3"/>
    <sheet name="Task_4" sheetId="4" r:id="rId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3" i="4" l="1"/>
  <c r="P4" i="4"/>
  <c r="P5" i="4"/>
  <c r="P6" i="4"/>
  <c r="P7" i="4"/>
  <c r="P8" i="4"/>
  <c r="P9" i="4"/>
  <c r="P2" i="4"/>
  <c r="B80" i="4"/>
  <c r="O3" i="4"/>
  <c r="O4" i="4"/>
  <c r="O5" i="4"/>
  <c r="O6" i="4"/>
  <c r="O7" i="4"/>
  <c r="O8" i="4"/>
  <c r="O9" i="4"/>
  <c r="O2" i="4"/>
  <c r="B73" i="4"/>
  <c r="N3" i="4"/>
  <c r="N4" i="4"/>
  <c r="N5" i="4"/>
  <c r="N6" i="4"/>
  <c r="N7" i="4"/>
  <c r="N8" i="4"/>
  <c r="N9" i="4"/>
  <c r="N2" i="4"/>
  <c r="B64" i="4"/>
  <c r="M3" i="4"/>
  <c r="M4" i="4"/>
  <c r="M5" i="4"/>
  <c r="M6" i="4"/>
  <c r="M7" i="4"/>
  <c r="M8" i="4"/>
  <c r="M9" i="4"/>
  <c r="M2" i="4"/>
  <c r="B55" i="4"/>
  <c r="L3" i="4" l="1"/>
  <c r="L4" i="4"/>
  <c r="L5" i="4"/>
  <c r="L6" i="4"/>
  <c r="L7" i="4"/>
  <c r="L8" i="4"/>
  <c r="L9" i="4"/>
  <c r="L2" i="4"/>
  <c r="B47" i="4"/>
  <c r="K3" i="4"/>
  <c r="K4" i="4"/>
  <c r="K5" i="4"/>
  <c r="K6" i="4"/>
  <c r="K7" i="4"/>
  <c r="K8" i="4"/>
  <c r="K9" i="4"/>
  <c r="K2" i="4"/>
  <c r="B38" i="4"/>
  <c r="J3" i="4"/>
  <c r="J4" i="4"/>
  <c r="J5" i="4"/>
  <c r="J6" i="4"/>
  <c r="J7" i="4"/>
  <c r="J8" i="4"/>
  <c r="J9" i="4"/>
  <c r="J2" i="4"/>
  <c r="B30" i="4"/>
  <c r="I3" i="4"/>
  <c r="I4" i="4"/>
  <c r="I5" i="4"/>
  <c r="I6" i="4"/>
  <c r="I7" i="4"/>
  <c r="I8" i="4"/>
  <c r="I9" i="4"/>
  <c r="I2" i="4"/>
  <c r="B20" i="4"/>
  <c r="H3" i="3" l="1"/>
  <c r="H4" i="3"/>
  <c r="H5" i="3"/>
  <c r="H6" i="3"/>
  <c r="H7" i="3"/>
  <c r="H8" i="3"/>
  <c r="H9" i="3"/>
  <c r="H2" i="3"/>
  <c r="B62" i="3"/>
  <c r="B54" i="3"/>
  <c r="G3" i="3"/>
  <c r="G4" i="3"/>
  <c r="G5" i="3"/>
  <c r="G6" i="3"/>
  <c r="G7" i="3"/>
  <c r="G8" i="3"/>
  <c r="G9" i="3"/>
  <c r="G2" i="3"/>
  <c r="B46" i="3"/>
  <c r="B37" i="3"/>
  <c r="B33" i="3"/>
  <c r="B28" i="3"/>
  <c r="F3" i="3"/>
  <c r="F4" i="3"/>
  <c r="F5" i="3"/>
  <c r="F6" i="3"/>
  <c r="F7" i="3"/>
  <c r="F8" i="3"/>
  <c r="F9" i="3"/>
  <c r="F2" i="3"/>
  <c r="B23" i="3"/>
  <c r="C17" i="3"/>
  <c r="B17" i="3"/>
  <c r="N3" i="2"/>
  <c r="N4" i="2"/>
  <c r="N5" i="2"/>
  <c r="N6" i="2"/>
  <c r="N7" i="2"/>
  <c r="N8" i="2"/>
  <c r="N9" i="2"/>
  <c r="B63" i="2"/>
  <c r="N2" i="2"/>
  <c r="B55" i="2"/>
  <c r="M3" i="2"/>
  <c r="M4" i="2"/>
  <c r="M5" i="2"/>
  <c r="M6" i="2"/>
  <c r="M7" i="2"/>
  <c r="M8" i="2"/>
  <c r="M9" i="2"/>
  <c r="M2" i="2"/>
  <c r="B50" i="2"/>
  <c r="B44" i="2"/>
  <c r="B39" i="2"/>
  <c r="L3" i="2"/>
  <c r="L4" i="2"/>
  <c r="L5" i="2"/>
  <c r="L6" i="2"/>
  <c r="L7" i="2"/>
  <c r="L8" i="2"/>
  <c r="L9" i="2"/>
  <c r="L2" i="2"/>
  <c r="B34" i="2"/>
  <c r="K3" i="2"/>
  <c r="K4" i="2"/>
  <c r="K5" i="2"/>
  <c r="K6" i="2"/>
  <c r="K7" i="2"/>
  <c r="K8" i="2"/>
  <c r="K9" i="2"/>
  <c r="K2" i="2"/>
  <c r="B25" i="2"/>
  <c r="C16" i="2"/>
  <c r="J3" i="2"/>
  <c r="J4" i="2"/>
  <c r="J5" i="2"/>
  <c r="J6" i="2"/>
  <c r="J7" i="2"/>
  <c r="J8" i="2"/>
  <c r="J9" i="2"/>
  <c r="J2" i="2"/>
  <c r="I3" i="2"/>
  <c r="I4" i="2"/>
  <c r="I5" i="2"/>
  <c r="I6" i="2"/>
  <c r="I7" i="2"/>
  <c r="I8" i="2"/>
  <c r="I9" i="2"/>
  <c r="I2" i="2"/>
  <c r="B16" i="2"/>
  <c r="B69" i="1" l="1"/>
  <c r="B54" i="1"/>
  <c r="J3" i="1"/>
  <c r="J4" i="1"/>
  <c r="J5" i="1"/>
  <c r="J6" i="1"/>
  <c r="J7" i="1"/>
  <c r="J8" i="1"/>
  <c r="J9" i="1"/>
  <c r="J2" i="1"/>
  <c r="K3" i="1"/>
  <c r="K4" i="1"/>
  <c r="K5" i="1"/>
  <c r="K6" i="1"/>
  <c r="K7" i="1"/>
  <c r="K8" i="1"/>
  <c r="K9" i="1"/>
  <c r="K2" i="1"/>
  <c r="B63" i="1"/>
  <c r="B45" i="1"/>
  <c r="B40" i="1"/>
  <c r="B34" i="1"/>
  <c r="I3" i="1"/>
  <c r="I4" i="1"/>
  <c r="I5" i="1"/>
  <c r="I6" i="1"/>
  <c r="I7" i="1"/>
  <c r="I8" i="1"/>
  <c r="I9" i="1"/>
  <c r="I2" i="1"/>
  <c r="B28" i="1"/>
  <c r="H3" i="1"/>
  <c r="H4" i="1"/>
  <c r="H5" i="1"/>
  <c r="H6" i="1"/>
  <c r="H7" i="1"/>
  <c r="H8" i="1"/>
  <c r="H9" i="1"/>
  <c r="H2" i="1"/>
  <c r="B19" i="1"/>
</calcChain>
</file>

<file path=xl/sharedStrings.xml><?xml version="1.0" encoding="utf-8"?>
<sst xmlns="http://schemas.openxmlformats.org/spreadsheetml/2006/main" count="212" uniqueCount="123">
  <si>
    <t>Emp_ID</t>
  </si>
  <si>
    <t>Emp_name</t>
  </si>
  <si>
    <t>Amit</t>
  </si>
  <si>
    <t>Neha</t>
  </si>
  <si>
    <t>Ravi</t>
  </si>
  <si>
    <t>Simran</t>
  </si>
  <si>
    <t>Karan</t>
  </si>
  <si>
    <t>Priya</t>
  </si>
  <si>
    <t>Mohit</t>
  </si>
  <si>
    <t>Pooja</t>
  </si>
  <si>
    <t>Dept</t>
  </si>
  <si>
    <t>Salary</t>
  </si>
  <si>
    <t>Monthly Sales</t>
  </si>
  <si>
    <t>Performance Rating</t>
  </si>
  <si>
    <t>Sales</t>
  </si>
  <si>
    <t>HR</t>
  </si>
  <si>
    <t>IT</t>
  </si>
  <si>
    <t>Excellent</t>
  </si>
  <si>
    <t>Good</t>
  </si>
  <si>
    <t>Average</t>
  </si>
  <si>
    <t>QUESTIONS</t>
  </si>
  <si>
    <r>
      <rPr>
        <b/>
        <sz val="12"/>
        <color theme="1"/>
        <rFont val="Calibri"/>
        <family val="2"/>
        <scheme val="minor"/>
      </rPr>
      <t>Q1.</t>
    </r>
    <r>
      <rPr>
        <sz val="11"/>
        <color theme="1"/>
        <rFont val="Calibri"/>
        <family val="2"/>
        <scheme val="minor"/>
      </rPr>
      <t xml:space="preserve">  The management wants to identify employees eligible for a quarterly performance bonus. An
employee will be considered eligible only if the employee has achieved sales greater than
₹80,000 and has attendance above 90%. However, employees with an “Excellent” performance
rating should also be considered eligible even if one of the above conditions is not satisfied.
Write a formula using IF, AND, and OR to display either “Bonus Eligible” or “Not Eligible”.</t>
    </r>
  </si>
  <si>
    <t xml:space="preserve">Ans </t>
  </si>
  <si>
    <t>Bonus Eligible</t>
  </si>
  <si>
    <r>
      <rPr>
        <b/>
        <sz val="12"/>
        <color theme="1"/>
        <rFont val="Calibri"/>
        <family val="2"/>
        <scheme val="minor"/>
      </rPr>
      <t>Q2.</t>
    </r>
    <r>
      <rPr>
        <sz val="11"/>
        <color theme="1"/>
        <rFont val="Calibri"/>
        <family val="2"/>
        <scheme val="minor"/>
      </rPr>
      <t xml:space="preserve">  The HR department wants to classify employees based on their salary structure. Create a
formula that displays:
● “High Income Group” if salary is greater than ₹65,000
● “Medium Income Group” if salary is between ₹50,000 and ₹65,000
● “Basic Income Group” for all remaining employees.
Use nested IF statements.</t>
    </r>
  </si>
  <si>
    <t>Ans</t>
  </si>
  <si>
    <t>Income Group</t>
  </si>
  <si>
    <r>
      <rPr>
        <b/>
        <sz val="12"/>
        <color theme="1"/>
        <rFont val="Calibri"/>
        <family val="2"/>
        <scheme val="minor"/>
      </rPr>
      <t>Q4.</t>
    </r>
    <r>
      <rPr>
        <sz val="11"/>
        <color theme="1"/>
        <rFont val="Calibri"/>
        <family val="2"/>
        <scheme val="minor"/>
      </rPr>
      <t xml:space="preserve">  The company wants to know how many employees have attendance greater than 90% because
those employees are eligible for an attendance reward program. Use COUNTIF formula to find
the total number of such employees.</t>
    </r>
  </si>
  <si>
    <r>
      <rPr>
        <b/>
        <sz val="12"/>
        <color theme="1"/>
        <rFont val="Calibri"/>
        <family val="2"/>
        <scheme val="minor"/>
      </rPr>
      <t xml:space="preserve">Q3.  </t>
    </r>
    <r>
      <rPr>
        <sz val="11"/>
        <color theme="1"/>
        <rFont val="Calibri"/>
        <family val="2"/>
        <scheme val="minor"/>
      </rPr>
      <t>The finance department wants to calculate the total salary expense for employees working in
the IT department only. Use an appropriate SUMIF formula to calculate the total amount paid to
the IT department employees.</t>
    </r>
  </si>
  <si>
    <r>
      <rPr>
        <b/>
        <sz val="12"/>
        <color theme="1"/>
        <rFont val="Calibri"/>
        <family val="2"/>
        <scheme val="minor"/>
      </rPr>
      <t xml:space="preserve">Q5. </t>
    </r>
    <r>
      <rPr>
        <sz val="11"/>
        <color theme="1"/>
        <rFont val="Calibri"/>
        <family val="2"/>
        <scheme val="minor"/>
      </rPr>
      <t xml:space="preserve"> The sales manager wants to calculate the average monthly sales of employees who achieved
sales above ₹75,000. Use AVERAGEIF formula to determine the required average.</t>
    </r>
  </si>
  <si>
    <r>
      <rPr>
        <b/>
        <sz val="12"/>
        <color theme="1"/>
        <rFont val="Calibri"/>
        <family val="2"/>
        <scheme val="minor"/>
      </rPr>
      <t xml:space="preserve">Q6. </t>
    </r>
    <r>
      <rPr>
        <sz val="11"/>
        <color theme="1"/>
        <rFont val="Calibri"/>
        <family val="2"/>
        <scheme val="minor"/>
      </rPr>
      <t xml:space="preserve"> Create a formula to identify “Top Performers” in the organization. An employee should be
marked as a “Top Performer” if:
● Salary is greater than ₹60,000
● AND sales are above ₹90,000
● OR performance rating is “Excellent” with attendance above 95%.
Use a combination of IF, AND, and OR.</t>
    </r>
  </si>
  <si>
    <r>
      <rPr>
        <b/>
        <sz val="12"/>
        <color theme="1"/>
        <rFont val="Calibri"/>
        <family val="2"/>
        <scheme val="minor"/>
      </rPr>
      <t>Q7.</t>
    </r>
    <r>
      <rPr>
        <sz val="11"/>
        <color theme="1"/>
        <rFont val="Calibri"/>
        <family val="2"/>
        <scheme val="minor"/>
      </rPr>
      <t xml:space="preserve">  The company wants to categorize employee performance according to monthly sales:
● Sales above ₹1,00,000 → “Outstanding”
● Sales between ₹75,000 and ₹1,00,000 → “Very Good”
● Sales between ₹50,000 and ₹75,000 → “Good”
● Below ₹50,000 → “Needs Improvement”
Use nested IF statements.</t>
    </r>
  </si>
  <si>
    <t>Performance Status</t>
  </si>
  <si>
    <t>Emp_Category</t>
  </si>
  <si>
    <r>
      <rPr>
        <b/>
        <sz val="12"/>
        <color theme="1"/>
        <rFont val="Calibri"/>
        <family val="2"/>
        <scheme val="minor"/>
      </rPr>
      <t>Q8.</t>
    </r>
    <r>
      <rPr>
        <sz val="11"/>
        <color theme="1"/>
        <rFont val="Calibri"/>
        <family val="2"/>
        <scheme val="minor"/>
      </rPr>
      <t xml:space="preserve">  The HR manager wants to calculate the total number of employees whose performance rating is
“Excellent”. Use COUNTIF formula for the calculation and display the result in a separate
summary section.</t>
    </r>
  </si>
  <si>
    <t>Attendance %</t>
  </si>
  <si>
    <t>Roll No</t>
  </si>
  <si>
    <t>Name</t>
  </si>
  <si>
    <t>Rahul</t>
  </si>
  <si>
    <t>Aman</t>
  </si>
  <si>
    <t>Class</t>
  </si>
  <si>
    <t>12A</t>
  </si>
  <si>
    <t>12B</t>
  </si>
  <si>
    <t>English</t>
  </si>
  <si>
    <t>Maths</t>
  </si>
  <si>
    <t>Science</t>
  </si>
  <si>
    <t>Computer</t>
  </si>
  <si>
    <t>Attendance%</t>
  </si>
  <si>
    <t>Total Marks</t>
  </si>
  <si>
    <t>Percentage%</t>
  </si>
  <si>
    <r>
      <rPr>
        <b/>
        <sz val="12"/>
        <color theme="1"/>
        <rFont val="Calibri"/>
        <family val="2"/>
        <scheme val="minor"/>
      </rPr>
      <t>Q1.</t>
    </r>
    <r>
      <rPr>
        <sz val="11"/>
        <color theme="1"/>
        <rFont val="Calibri"/>
        <family val="2"/>
        <scheme val="minor"/>
      </rPr>
      <t xml:space="preserve">  Calculate the total marks obtained by each student in all four subjects. Then calculate the 
percentage assuming the maximum marks are 400. Use suitable Excel formulas.</t>
    </r>
  </si>
  <si>
    <r>
      <t>Q2.</t>
    </r>
    <r>
      <rPr>
        <sz val="11"/>
        <color theme="1"/>
        <rFont val="Calibri"/>
        <family val="2"/>
        <scheme val="minor"/>
      </rPr>
      <t xml:space="preserve">  The school wants to award scholarships to deserving students. A student will receive a 
scholarship if: 
● Percentage is greater than 85% 
● AND attendance is above 90% 
● OR Computer marks are above 95. 
Use IF, AND, and OR formulas to display “Scholarship Approved” or “Not Approved”.</t>
    </r>
    <r>
      <rPr>
        <b/>
        <sz val="12"/>
        <color theme="1"/>
        <rFont val="Calibri"/>
        <family val="2"/>
        <scheme val="minor"/>
      </rPr>
      <t xml:space="preserve"> </t>
    </r>
  </si>
  <si>
    <t>Scholarship</t>
  </si>
  <si>
    <r>
      <rPr>
        <b/>
        <sz val="12"/>
        <color theme="1"/>
        <rFont val="Calibri"/>
        <family val="2"/>
        <scheme val="minor"/>
      </rPr>
      <t xml:space="preserve">Q3.  </t>
    </r>
    <r>
      <rPr>
        <sz val="11"/>
        <color theme="1"/>
        <rFont val="Calibri"/>
        <family val="2"/>
        <scheme val="minor"/>
      </rPr>
      <t>Create a grading system using nested IF statements: 
● Percentage ≥ 90 → Grade A+ 
● Percentage ≥ 75 → Grade A 
● Percentage ≥ 60 → Grade B 
● Percentage ≥ 40 → Grade C 
● Below 40 → Fail</t>
    </r>
  </si>
  <si>
    <t>Grade</t>
  </si>
  <si>
    <r>
      <rPr>
        <b/>
        <sz val="12"/>
        <color theme="1"/>
        <rFont val="Calibri"/>
        <family val="2"/>
        <scheme val="minor"/>
      </rPr>
      <t>Q4.</t>
    </r>
    <r>
      <rPr>
        <sz val="11"/>
        <color theme="1"/>
        <rFont val="Calibri"/>
        <family val="2"/>
        <scheme val="minor"/>
      </rPr>
      <t xml:space="preserve">  The principal wants to know the average marks in Maths for students who scored more than 70 
marks in Maths. Use AVERAGEIF formula.</t>
    </r>
  </si>
  <si>
    <r>
      <rPr>
        <b/>
        <sz val="12"/>
        <color theme="1"/>
        <rFont val="Calibri"/>
        <family val="2"/>
        <scheme val="minor"/>
      </rPr>
      <t>Q5.</t>
    </r>
    <r>
      <rPr>
        <sz val="11"/>
        <color theme="1"/>
        <rFont val="Calibri"/>
        <family val="2"/>
        <scheme val="minor"/>
      </rPr>
      <t xml:space="preserve">  The administration department wants to calculate the total English marks of students belonging 
to class 12A only. Use SUMIF formula.</t>
    </r>
  </si>
  <si>
    <r>
      <rPr>
        <b/>
        <sz val="12"/>
        <color theme="1"/>
        <rFont val="Calibri"/>
        <family val="2"/>
        <scheme val="minor"/>
      </rPr>
      <t>Q6.</t>
    </r>
    <r>
      <rPr>
        <sz val="11"/>
        <color theme="1"/>
        <rFont val="Calibri"/>
        <family val="2"/>
        <scheme val="minor"/>
      </rPr>
      <t xml:space="preserve"> The school wants to identify weak students. If a student has scored below 50 in any one 
subject, the result should display “Needs Improvement”; otherwise display “Satisfactory”. Use 
OR function with IF.</t>
    </r>
  </si>
  <si>
    <r>
      <rPr>
        <b/>
        <sz val="12"/>
        <color theme="1"/>
        <rFont val="Calibri"/>
        <family val="2"/>
        <scheme val="minor"/>
      </rPr>
      <t>Q7.</t>
    </r>
    <r>
      <rPr>
        <sz val="11"/>
        <color theme="1"/>
        <rFont val="Calibri"/>
        <family val="2"/>
        <scheme val="minor"/>
      </rPr>
      <t xml:space="preserve">  Count the number of students whose attendance percentage is greater than 90 because they 
are eligible for the “Best Attendance Award”. Use COUNTIF. </t>
    </r>
  </si>
  <si>
    <r>
      <rPr>
        <b/>
        <sz val="12"/>
        <color theme="1"/>
        <rFont val="Calibri"/>
        <family val="2"/>
        <scheme val="minor"/>
      </rPr>
      <t xml:space="preserve">Q8. </t>
    </r>
    <r>
      <rPr>
        <sz val="11"/>
        <color theme="1"/>
        <rFont val="Calibri"/>
        <family val="2"/>
        <scheme val="minor"/>
      </rPr>
      <t xml:space="preserve"> Create a formula to identify “Academic Excellence” students. A student should receive this title 
if: 
● English, Maths, Science, and Computer marks are all above 85 
● AND attendance is above 90%. 
Use AND with IF.</t>
    </r>
  </si>
  <si>
    <t>Academc Excellence</t>
  </si>
  <si>
    <t>Product ID</t>
  </si>
  <si>
    <t>Product Name</t>
  </si>
  <si>
    <t>Keyboard</t>
  </si>
  <si>
    <t>Mouse</t>
  </si>
  <si>
    <t>Printer</t>
  </si>
  <si>
    <t>Chair</t>
  </si>
  <si>
    <t>Desk</t>
  </si>
  <si>
    <t>PenDrive</t>
  </si>
  <si>
    <t>Router</t>
  </si>
  <si>
    <t>Notebook</t>
  </si>
  <si>
    <t>Electronics</t>
  </si>
  <si>
    <t>Furniture</t>
  </si>
  <si>
    <t>Accessories</t>
  </si>
  <si>
    <t>Stationery</t>
  </si>
  <si>
    <t>Price</t>
  </si>
  <si>
    <t>Category</t>
  </si>
  <si>
    <t>Stock Available</t>
  </si>
  <si>
    <r>
      <rPr>
        <b/>
        <sz val="12"/>
        <color theme="1"/>
        <rFont val="Calibri"/>
        <family val="2"/>
        <scheme val="minor"/>
      </rPr>
      <t>Q1.</t>
    </r>
    <r>
      <rPr>
        <sz val="11"/>
        <color theme="1"/>
        <rFont val="Calibri"/>
        <family val="2"/>
        <scheme val="minor"/>
      </rPr>
      <t xml:space="preserve">  The sales department wants to automatically retrieve the product name and product price 
whenever a Product ID is entered into a separate cell. Use VLOOKUP formula to fetch both 
details from the table. </t>
    </r>
  </si>
  <si>
    <r>
      <rPr>
        <b/>
        <sz val="12"/>
        <color theme="1"/>
        <rFont val="Calibri"/>
        <family val="2"/>
        <scheme val="minor"/>
      </rPr>
      <t xml:space="preserve">Q2. </t>
    </r>
    <r>
      <rPr>
        <sz val="11"/>
        <color theme="1"/>
        <rFont val="Calibri"/>
        <family val="2"/>
        <scheme val="minor"/>
      </rPr>
      <t xml:space="preserve"> The inventory manager wants to identify products that require urgent restocking. If stock 
available is less than 20, the result should display “Restock Immediately”; otherwise display 
“Stock Sufficient”. Use IF formula.</t>
    </r>
  </si>
  <si>
    <t>Stock Status</t>
  </si>
  <si>
    <r>
      <rPr>
        <b/>
        <sz val="12"/>
        <color theme="1"/>
        <rFont val="Calibri"/>
        <family val="2"/>
        <scheme val="minor"/>
      </rPr>
      <t xml:space="preserve">Q3. </t>
    </r>
    <r>
      <rPr>
        <sz val="11"/>
        <color theme="1"/>
        <rFont val="Calibri"/>
        <family val="2"/>
        <scheme val="minor"/>
      </rPr>
      <t xml:space="preserve"> Calculate the total stock available for all products belonging to the Electronics category using 
SUMIF.</t>
    </r>
  </si>
  <si>
    <r>
      <rPr>
        <b/>
        <sz val="12"/>
        <color theme="1"/>
        <rFont val="Calibri"/>
        <family val="2"/>
        <scheme val="minor"/>
      </rPr>
      <t xml:space="preserve">Q4.  </t>
    </r>
    <r>
      <rPr>
        <sz val="11"/>
        <color theme="1"/>
        <rFont val="Calibri"/>
        <family val="2"/>
        <scheme val="minor"/>
      </rPr>
      <t>The company wants to know how many products currently have stock greater than 50 units. 
Use COUNTIF formula.</t>
    </r>
  </si>
  <si>
    <r>
      <rPr>
        <b/>
        <sz val="12"/>
        <color theme="1"/>
        <rFont val="Calibri"/>
        <family val="2"/>
        <scheme val="minor"/>
      </rPr>
      <t xml:space="preserve">Q5. </t>
    </r>
    <r>
      <rPr>
        <sz val="11"/>
        <color theme="1"/>
        <rFont val="Calibri"/>
        <family val="2"/>
        <scheme val="minor"/>
      </rPr>
      <t xml:space="preserve"> Calculate the average price of products whose price is greater than ₹1,000 using AVERAGEIF.</t>
    </r>
  </si>
  <si>
    <r>
      <rPr>
        <b/>
        <sz val="12"/>
        <color theme="1"/>
        <rFont val="Calibri"/>
        <family val="2"/>
        <scheme val="minor"/>
      </rPr>
      <t xml:space="preserve">Q6. </t>
    </r>
    <r>
      <rPr>
        <sz val="11"/>
        <color theme="1"/>
        <rFont val="Calibri"/>
        <family val="2"/>
        <scheme val="minor"/>
      </rPr>
      <t xml:space="preserve"> The management wants to identify fast-selling products. A product should be marked as “Fast 
Moving” if: 
● Stock is less than 30 
● AND price is greater than ₹2,000 
● OR category is Electronics. 
Use IF, AND, and OR formulas.</t>
    </r>
  </si>
  <si>
    <t>Selling Status</t>
  </si>
  <si>
    <r>
      <rPr>
        <b/>
        <sz val="12"/>
        <color theme="1"/>
        <rFont val="Calibri"/>
        <family val="2"/>
        <scheme val="minor"/>
      </rPr>
      <t>Q7</t>
    </r>
    <r>
      <rPr>
        <sz val="11"/>
        <color theme="1"/>
        <rFont val="Calibri"/>
        <family val="2"/>
        <scheme val="minor"/>
      </rPr>
      <t>.  Create a horizontal sales table and use HLOOKUP formula to retrieve monthly sales figures for a 
selected category.</t>
    </r>
  </si>
  <si>
    <t>Jan</t>
  </si>
  <si>
    <t>Feb</t>
  </si>
  <si>
    <t>March</t>
  </si>
  <si>
    <t>April</t>
  </si>
  <si>
    <t>Retrieve March sales using HLOOKUP.</t>
  </si>
  <si>
    <r>
      <rPr>
        <b/>
        <sz val="12"/>
        <color theme="1"/>
        <rFont val="Calibri"/>
        <family val="2"/>
        <scheme val="minor"/>
      </rPr>
      <t xml:space="preserve">Q8. </t>
    </r>
    <r>
      <rPr>
        <sz val="11"/>
        <color theme="1"/>
        <rFont val="Calibri"/>
        <family val="2"/>
        <scheme val="minor"/>
      </rPr>
      <t xml:space="preserve"> The store manager wants to classify products according to pricing: 
● Above ₹7,000 → “Premium Product” 
● ₹2,000 to ₹7,000 → “Standard Product” 
● Below ₹2,000 → “Budget Product” 
Use nested IF statements to generate the classification automatically.</t>
    </r>
  </si>
  <si>
    <t>Classification</t>
  </si>
  <si>
    <t>E301</t>
  </si>
  <si>
    <t>E302</t>
  </si>
  <si>
    <t>E303</t>
  </si>
  <si>
    <t>E304</t>
  </si>
  <si>
    <t>E305</t>
  </si>
  <si>
    <t>E306</t>
  </si>
  <si>
    <t>E307</t>
  </si>
  <si>
    <t>E308</t>
  </si>
  <si>
    <t>Emp_Name</t>
  </si>
  <si>
    <t>Rohit</t>
  </si>
  <si>
    <t>Department</t>
  </si>
  <si>
    <t>Rating</t>
  </si>
  <si>
    <t>Experience</t>
  </si>
  <si>
    <r>
      <rPr>
        <b/>
        <sz val="12"/>
        <color theme="1"/>
        <rFont val="Calibri"/>
        <family val="2"/>
        <scheme val="minor"/>
      </rPr>
      <t>Q1.</t>
    </r>
    <r>
      <rPr>
        <sz val="11"/>
        <color theme="1"/>
        <rFont val="Calibri"/>
        <family val="2"/>
        <scheme val="minor"/>
      </rPr>
      <t xml:space="preserve">  The company wants to identify employees eligible for an international business trip. An 
employee will qualify only if: 
● Sales are greater than ₹1,00,000 AND attendance is greater than 95% 
● OR the employee belongs to the IT department AND has more than 7 years of 
experience. 
Create a formula using IF, AND, and OR to display “Eligible for Trip” or “Not Eligible”.</t>
    </r>
  </si>
  <si>
    <t>International_Business_Trip</t>
  </si>
  <si>
    <r>
      <rPr>
        <b/>
        <sz val="12"/>
        <color theme="1"/>
        <rFont val="Calibri"/>
        <family val="2"/>
        <scheme val="minor"/>
      </rPr>
      <t>Q2</t>
    </r>
    <r>
      <rPr>
        <sz val="11"/>
        <color theme="1"/>
        <rFont val="Calibri"/>
        <family val="2"/>
        <scheme val="minor"/>
      </rPr>
      <t>.  The HR department wants to approve leadership promotions only for employees who satisfy the 
following conditions: 
● Salary greater than ₹70,000 AND performance rating is “Excellent” AND attendance 
above 90% 
● OR sales are greater than ₹1,30,000 regardless of department. 
Use a combination of IF, AND, and OR formulas to display “Promotion Approved” or “Promotion 
Rejected”.</t>
    </r>
  </si>
  <si>
    <t>Leadership Promotions</t>
  </si>
  <si>
    <r>
      <rPr>
        <b/>
        <sz val="12"/>
        <color theme="1"/>
        <rFont val="Calibri"/>
        <family val="2"/>
        <scheme val="minor"/>
      </rPr>
      <t xml:space="preserve">Q3. </t>
    </r>
    <r>
      <rPr>
        <sz val="11"/>
        <color theme="1"/>
        <rFont val="Calibri"/>
        <family val="2"/>
        <scheme val="minor"/>
      </rPr>
      <t xml:space="preserve"> The company wants to identify employees who should receive a “Critical Employee Retention 
Bonus”. The conditions are: 
● Experience greater than 5 years AND salary below ₹75,000 
● OR sales above ₹1,10,000 AND rating is “Excellent”. 
Write a formula using IF, AND, and OR.</t>
    </r>
  </si>
  <si>
    <t>Critical Employee Retention Bonus</t>
  </si>
  <si>
    <r>
      <rPr>
        <b/>
        <sz val="12"/>
        <color theme="1"/>
        <rFont val="Calibri"/>
        <family val="2"/>
        <scheme val="minor"/>
      </rPr>
      <t xml:space="preserve">Q4.  </t>
    </r>
    <r>
      <rPr>
        <sz val="11"/>
        <color theme="1"/>
        <rFont val="Calibri"/>
        <family val="2"/>
        <scheme val="minor"/>
      </rPr>
      <t>The finance department wants to mark employees as “High Risk Employees” if: 
● Attendance is below 90% AND sales are below ₹70,000 
● OR rating is “Average” 
● OR experience is less than 3 years. 
Use advanced logical formulas to generate the required result.</t>
    </r>
  </si>
  <si>
    <t>High Risk Employee</t>
  </si>
  <si>
    <r>
      <rPr>
        <b/>
        <sz val="12"/>
        <color theme="1"/>
        <rFont val="Calibri"/>
        <family val="2"/>
        <scheme val="minor"/>
      </rPr>
      <t xml:space="preserve">Q5. </t>
    </r>
    <r>
      <rPr>
        <sz val="11"/>
        <color theme="1"/>
        <rFont val="Calibri"/>
        <family val="2"/>
        <scheme val="minor"/>
      </rPr>
      <t xml:space="preserve"> The management wants to shortlist employees for executive training. An employee should be 
selected only if: 
● Department is IT AND attendance above 95% AND sales above ₹90,000 
● OR department is Sales AND sales above ₹1,20,000 AND rating is “Excellent”. 
Use nested AND and OR formulas with IF.</t>
    </r>
  </si>
  <si>
    <t>Executive Training</t>
  </si>
  <si>
    <r>
      <rPr>
        <b/>
        <sz val="12"/>
        <color theme="1"/>
        <rFont val="Calibri"/>
        <family val="2"/>
        <scheme val="minor"/>
      </rPr>
      <t>Q6.</t>
    </r>
    <r>
      <rPr>
        <sz val="11"/>
        <color theme="1"/>
        <rFont val="Calibri"/>
        <family val="2"/>
        <scheme val="minor"/>
      </rPr>
      <t xml:space="preserve">  The company wants to provide a special “Loyalty Appreciation Award” to employees who satisfy 
any one of the following conditions: 
● Experience greater than 8 years AND attendance greater than 95% 
● OR sales above ₹1,00,000 AND salary less than ₹80,000 
● OR rating is “Excellent” AND department is IT. 
Create a hard-level logical formula using multiple AND and OR conditions. </t>
    </r>
  </si>
  <si>
    <t>Loyalty Appreciation Award</t>
  </si>
  <si>
    <r>
      <rPr>
        <b/>
        <sz val="12"/>
        <color theme="1"/>
        <rFont val="Calibri"/>
        <family val="2"/>
        <scheme val="minor"/>
      </rPr>
      <t xml:space="preserve">Q7. </t>
    </r>
    <r>
      <rPr>
        <sz val="11"/>
        <color theme="1"/>
        <rFont val="Calibri"/>
        <family val="2"/>
        <scheme val="minor"/>
      </rPr>
      <t xml:space="preserve"> The HR manager wants to identify employees who require performance counseling. An 
employee should be marked for counseling if: 
● Attendance below 90% AND sales below ₹80,000 
● OR rating is “Average” 
● OR salary below ₹50,000 AND experience below 4 years. 
Use IF, AND, and OR formulas.</t>
    </r>
  </si>
  <si>
    <t>Performance Counseling</t>
  </si>
  <si>
    <r>
      <rPr>
        <b/>
        <sz val="12"/>
        <color theme="1"/>
        <rFont val="Calibri"/>
        <family val="2"/>
        <scheme val="minor"/>
      </rPr>
      <t>Q8.</t>
    </r>
    <r>
      <rPr>
        <sz val="11"/>
        <color theme="1"/>
        <rFont val="Calibri"/>
        <family val="2"/>
        <scheme val="minor"/>
      </rPr>
      <t xml:space="preserve">  The company wants to identify employees who qualify for the “Elite Performer Club”. The 
eligibility criteria are: 
● Sales greater than ₹1,00,000 AND attendance above 95% AND rating is “Excellent” 
● OR experience greater than 8 years AND salary greater than ₹80,000.</t>
    </r>
  </si>
  <si>
    <t>Elite Performer Club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</si>
</sst>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i/>
      <u/>
      <sz val="16"/>
      <color theme="1"/>
      <name val="Calibri"/>
      <family val="2"/>
      <scheme val="minor"/>
    </font>
    <font>
      <b/>
      <sz val="12"/>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horizontal="left"/>
    </xf>
    <xf numFmtId="0" fontId="0" fillId="0" borderId="0" xfId="0" applyAlignment="1">
      <alignment vertical="top" wrapText="1"/>
    </xf>
    <xf numFmtId="0" fontId="2" fillId="0" borderId="0" xfId="0" applyFont="1"/>
    <xf numFmtId="0" fontId="2" fillId="0" borderId="0" xfId="0" applyFont="1" applyFill="1" applyAlignment="1">
      <alignment horizontal="left"/>
    </xf>
    <xf numFmtId="0" fontId="0" fillId="0" borderId="0" xfId="0" applyAlignment="1">
      <alignment horizontal="left"/>
    </xf>
    <xf numFmtId="0" fontId="3" fillId="0" borderId="0" xfId="0" applyFont="1" applyAlignment="1">
      <alignment horizontal="left"/>
    </xf>
    <xf numFmtId="0" fontId="2" fillId="0" borderId="0" xfId="0" applyFont="1" applyAlignment="1">
      <alignment horizontal="left"/>
    </xf>
    <xf numFmtId="0" fontId="0" fillId="0" borderId="0" xfId="0" applyAlignment="1">
      <alignment horizontal="left"/>
    </xf>
    <xf numFmtId="0" fontId="0" fillId="0" borderId="0" xfId="0" applyAlignment="1">
      <alignment horizontal="left" vertical="top" wrapText="1"/>
    </xf>
    <xf numFmtId="0" fontId="0" fillId="0" borderId="0" xfId="0" applyFont="1" applyAlignment="1">
      <alignment horizontal="left" vertical="top" wrapText="1"/>
    </xf>
    <xf numFmtId="0" fontId="2" fillId="0" borderId="0" xfId="0" applyFont="1" applyAlignment="1">
      <alignment horizontal="left" vertical="top" wrapText="1"/>
    </xf>
    <xf numFmtId="0" fontId="1" fillId="0" borderId="0" xfId="0" applyFont="1" applyAlignment="1">
      <alignment horizontal="center"/>
    </xf>
    <xf numFmtId="0" fontId="0" fillId="0" borderId="0" xfId="0" applyAlignment="1">
      <alignment horizontal="left" wrapText="1"/>
    </xf>
    <xf numFmtId="0" fontId="0" fillId="0" borderId="0" xfId="0" applyAlignment="1">
      <alignment horizontal="left"/>
    </xf>
    <xf numFmtId="0" fontId="0" fillId="0" borderId="0" xfId="0" applyAlignment="1">
      <alignment horizontal="left" vertical="top"/>
    </xf>
    <xf numFmtId="0" fontId="0" fillId="0" borderId="0" xfId="0"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86942-A937-4934-BEFC-D4687CD417CD}">
  <dimension ref="A1:V69"/>
  <sheetViews>
    <sheetView tabSelected="1" workbookViewId="0">
      <selection activeCell="B28" sqref="B28"/>
    </sheetView>
  </sheetViews>
  <sheetFormatPr defaultRowHeight="15" x14ac:dyDescent="0.25"/>
  <cols>
    <col min="1" max="1" width="8.42578125" bestFit="1" customWidth="1"/>
    <col min="2" max="2" width="21.7109375" bestFit="1" customWidth="1"/>
    <col min="3" max="3" width="5.7109375" bestFit="1" customWidth="1"/>
    <col min="4" max="4" width="7" bestFit="1" customWidth="1"/>
    <col min="5" max="5" width="15" bestFit="1" customWidth="1"/>
    <col min="6" max="6" width="14.85546875" bestFit="1" customWidth="1"/>
    <col min="7" max="7" width="20.7109375" bestFit="1" customWidth="1"/>
    <col min="8" max="8" width="14.7109375" bestFit="1" customWidth="1"/>
    <col min="9" max="9" width="21.7109375" bestFit="1" customWidth="1"/>
    <col min="10" max="10" width="20.5703125" bestFit="1" customWidth="1"/>
    <col min="11" max="11" width="19.5703125" bestFit="1" customWidth="1"/>
  </cols>
  <sheetData>
    <row r="1" spans="1:22" ht="15.75" x14ac:dyDescent="0.25">
      <c r="A1" s="4" t="s">
        <v>0</v>
      </c>
      <c r="B1" s="4" t="s">
        <v>1</v>
      </c>
      <c r="C1" s="4" t="s">
        <v>10</v>
      </c>
      <c r="D1" s="4" t="s">
        <v>11</v>
      </c>
      <c r="E1" s="4" t="s">
        <v>12</v>
      </c>
      <c r="F1" s="4" t="s">
        <v>35</v>
      </c>
      <c r="G1" s="4" t="s">
        <v>13</v>
      </c>
      <c r="H1" s="4" t="s">
        <v>23</v>
      </c>
      <c r="I1" s="4" t="s">
        <v>26</v>
      </c>
      <c r="J1" s="4" t="s">
        <v>32</v>
      </c>
      <c r="K1" s="4" t="s">
        <v>33</v>
      </c>
    </row>
    <row r="2" spans="1:22" x14ac:dyDescent="0.25">
      <c r="A2" s="1">
        <v>101</v>
      </c>
      <c r="B2" s="1" t="s">
        <v>2</v>
      </c>
      <c r="C2" s="1" t="s">
        <v>14</v>
      </c>
      <c r="D2" s="1">
        <v>55000</v>
      </c>
      <c r="E2" s="1">
        <v>85000</v>
      </c>
      <c r="F2" s="1">
        <v>92</v>
      </c>
      <c r="G2" s="1" t="s">
        <v>17</v>
      </c>
      <c r="H2" s="1" t="str">
        <f>IF(OR(AND(E2&gt;80000,F2&gt;90),G2="Excellent"),"Bonus Eligible","Not Eligible")</f>
        <v>Bonus Eligible</v>
      </c>
      <c r="I2" s="1" t="str">
        <f>IF(D2&gt;65000,"High Income Group",IF(AND(D2&gt;50000,D2&lt;65000),"Medium Income Group","Basic Income Group"))</f>
        <v>Medium Income Group</v>
      </c>
      <c r="J2" s="1" t="str">
        <f>IF(OR(AND(D2&gt;60000,E2&gt;90000),G2="Excellent",F2&gt;95),"Top Performer","Average Performer")</f>
        <v>Top Performer</v>
      </c>
      <c r="K2" s="1" t="str">
        <f>IF(E2&gt;100000,"Outstanding",IF(AND(E2&gt;75000,E2&lt;100000),"Very Good",IF(AND(E2&gt;50000,E2&lt;75000),"Good","Needs Improvement")))</f>
        <v>Very Good</v>
      </c>
    </row>
    <row r="3" spans="1:22" x14ac:dyDescent="0.25">
      <c r="A3" s="1">
        <v>102</v>
      </c>
      <c r="B3" s="1" t="s">
        <v>3</v>
      </c>
      <c r="C3" s="1" t="s">
        <v>15</v>
      </c>
      <c r="D3" s="1">
        <v>42000</v>
      </c>
      <c r="E3" s="1">
        <v>30000</v>
      </c>
      <c r="F3" s="1">
        <v>88</v>
      </c>
      <c r="G3" s="1" t="s">
        <v>18</v>
      </c>
      <c r="H3" s="1" t="str">
        <f t="shared" ref="H3:H9" si="0">IF(OR(AND(E3&gt;80000,F3&gt;90),G3="Excellent"),"Bonus Eligible","Not Eligible")</f>
        <v>Not Eligible</v>
      </c>
      <c r="I3" s="1" t="str">
        <f t="shared" ref="I3:I9" si="1">IF(D3&gt;65000,"High Income Group",IF(AND(D3&gt;50000,D3&lt;65000),"Medium Income Group","Basic Income Group"))</f>
        <v>Basic Income Group</v>
      </c>
      <c r="J3" s="1" t="str">
        <f t="shared" ref="J3:J9" si="2">IF(OR(AND(D3&gt;60000,E3&gt;90000),G3="Excellent",F3&gt;95),"Top Performer","Average Performer")</f>
        <v>Average Performer</v>
      </c>
      <c r="K3" s="1" t="str">
        <f t="shared" ref="K3:K9" si="3">IF(E3&gt;100000,"Outstanding",IF(AND(E3&gt;75000,E3&lt;100000),"Very Good",IF(AND(E3&gt;50000,E3&lt;75000),"Good","Needs Improvement")))</f>
        <v>Needs Improvement</v>
      </c>
    </row>
    <row r="4" spans="1:22" x14ac:dyDescent="0.25">
      <c r="A4" s="1">
        <v>103</v>
      </c>
      <c r="B4" s="1" t="s">
        <v>4</v>
      </c>
      <c r="C4" s="1" t="s">
        <v>16</v>
      </c>
      <c r="D4" s="1">
        <v>65000</v>
      </c>
      <c r="E4" s="1">
        <v>95000</v>
      </c>
      <c r="F4" s="1">
        <v>96</v>
      </c>
      <c r="G4" s="1" t="s">
        <v>17</v>
      </c>
      <c r="H4" s="1" t="str">
        <f t="shared" si="0"/>
        <v>Bonus Eligible</v>
      </c>
      <c r="I4" s="1" t="str">
        <f t="shared" si="1"/>
        <v>Basic Income Group</v>
      </c>
      <c r="J4" s="1" t="str">
        <f t="shared" si="2"/>
        <v>Top Performer</v>
      </c>
      <c r="K4" s="1" t="str">
        <f t="shared" si="3"/>
        <v>Very Good</v>
      </c>
    </row>
    <row r="5" spans="1:22" x14ac:dyDescent="0.25">
      <c r="A5" s="1">
        <v>104</v>
      </c>
      <c r="B5" s="1" t="s">
        <v>5</v>
      </c>
      <c r="C5" s="1" t="s">
        <v>14</v>
      </c>
      <c r="D5" s="1">
        <v>48000</v>
      </c>
      <c r="E5" s="1">
        <v>72000</v>
      </c>
      <c r="F5" s="1">
        <v>85</v>
      </c>
      <c r="G5" s="1" t="s">
        <v>19</v>
      </c>
      <c r="H5" s="1" t="str">
        <f t="shared" si="0"/>
        <v>Not Eligible</v>
      </c>
      <c r="I5" s="1" t="str">
        <f t="shared" si="1"/>
        <v>Basic Income Group</v>
      </c>
      <c r="J5" s="1" t="str">
        <f t="shared" si="2"/>
        <v>Average Performer</v>
      </c>
      <c r="K5" s="1" t="str">
        <f t="shared" si="3"/>
        <v>Good</v>
      </c>
    </row>
    <row r="6" spans="1:22" x14ac:dyDescent="0.25">
      <c r="A6" s="1">
        <v>105</v>
      </c>
      <c r="B6" s="1" t="s">
        <v>6</v>
      </c>
      <c r="C6" s="1" t="s">
        <v>16</v>
      </c>
      <c r="D6" s="1">
        <v>70000</v>
      </c>
      <c r="E6" s="1">
        <v>105000</v>
      </c>
      <c r="F6" s="1">
        <v>98</v>
      </c>
      <c r="G6" s="1" t="s">
        <v>17</v>
      </c>
      <c r="H6" s="1" t="str">
        <f t="shared" si="0"/>
        <v>Bonus Eligible</v>
      </c>
      <c r="I6" s="1" t="str">
        <f t="shared" si="1"/>
        <v>High Income Group</v>
      </c>
      <c r="J6" s="1" t="str">
        <f t="shared" si="2"/>
        <v>Top Performer</v>
      </c>
      <c r="K6" s="1" t="str">
        <f t="shared" si="3"/>
        <v>Outstanding</v>
      </c>
    </row>
    <row r="7" spans="1:22" x14ac:dyDescent="0.25">
      <c r="A7" s="1">
        <v>106</v>
      </c>
      <c r="B7" s="1" t="s">
        <v>7</v>
      </c>
      <c r="C7" s="1" t="s">
        <v>15</v>
      </c>
      <c r="D7" s="1">
        <v>39000</v>
      </c>
      <c r="E7" s="1">
        <v>25000</v>
      </c>
      <c r="F7" s="1">
        <v>91</v>
      </c>
      <c r="G7" s="1" t="s">
        <v>18</v>
      </c>
      <c r="H7" s="1" t="str">
        <f t="shared" si="0"/>
        <v>Not Eligible</v>
      </c>
      <c r="I7" s="1" t="str">
        <f t="shared" si="1"/>
        <v>Basic Income Group</v>
      </c>
      <c r="J7" s="1" t="str">
        <f t="shared" si="2"/>
        <v>Average Performer</v>
      </c>
      <c r="K7" s="1" t="str">
        <f t="shared" si="3"/>
        <v>Needs Improvement</v>
      </c>
    </row>
    <row r="8" spans="1:22" x14ac:dyDescent="0.25">
      <c r="A8" s="1">
        <v>107</v>
      </c>
      <c r="B8" s="1" t="s">
        <v>8</v>
      </c>
      <c r="C8" s="1" t="s">
        <v>14</v>
      </c>
      <c r="D8" s="1">
        <v>52000</v>
      </c>
      <c r="E8" s="1">
        <v>68000</v>
      </c>
      <c r="F8" s="1">
        <v>89</v>
      </c>
      <c r="G8" s="1" t="s">
        <v>18</v>
      </c>
      <c r="H8" s="1" t="str">
        <f t="shared" si="0"/>
        <v>Not Eligible</v>
      </c>
      <c r="I8" s="1" t="str">
        <f t="shared" si="1"/>
        <v>Medium Income Group</v>
      </c>
      <c r="J8" s="1" t="str">
        <f t="shared" si="2"/>
        <v>Average Performer</v>
      </c>
      <c r="K8" s="1" t="str">
        <f t="shared" si="3"/>
        <v>Good</v>
      </c>
    </row>
    <row r="9" spans="1:22" x14ac:dyDescent="0.25">
      <c r="A9" s="1">
        <v>108</v>
      </c>
      <c r="B9" s="1" t="s">
        <v>9</v>
      </c>
      <c r="C9" s="1" t="s">
        <v>16</v>
      </c>
      <c r="D9" s="1">
        <v>61000</v>
      </c>
      <c r="E9" s="1">
        <v>88000</v>
      </c>
      <c r="F9" s="1">
        <v>94</v>
      </c>
      <c r="G9" s="1" t="s">
        <v>17</v>
      </c>
      <c r="H9" s="1" t="str">
        <f t="shared" si="0"/>
        <v>Bonus Eligible</v>
      </c>
      <c r="I9" s="1" t="str">
        <f t="shared" si="1"/>
        <v>Medium Income Group</v>
      </c>
      <c r="J9" s="1" t="str">
        <f t="shared" si="2"/>
        <v>Top Performer</v>
      </c>
      <c r="K9" s="1" t="str">
        <f t="shared" si="3"/>
        <v>Very Good</v>
      </c>
    </row>
    <row r="11" spans="1:22" ht="21" x14ac:dyDescent="0.35">
      <c r="A11" s="12" t="s">
        <v>20</v>
      </c>
      <c r="B11" s="12"/>
    </row>
    <row r="13" spans="1:22" ht="15" customHeight="1" x14ac:dyDescent="0.25">
      <c r="A13" s="9" t="s">
        <v>21</v>
      </c>
      <c r="B13" s="9"/>
      <c r="C13" s="9"/>
      <c r="D13" s="9"/>
      <c r="E13" s="9"/>
      <c r="F13" s="9"/>
      <c r="G13" s="9"/>
      <c r="H13" s="9"/>
      <c r="J13" s="2"/>
      <c r="K13" s="2"/>
      <c r="L13" s="2"/>
      <c r="M13" s="2"/>
      <c r="N13" s="2"/>
      <c r="O13" s="2"/>
      <c r="P13" s="2"/>
      <c r="Q13" s="2"/>
      <c r="R13" s="2"/>
      <c r="S13" s="2"/>
      <c r="T13" s="2"/>
      <c r="U13" s="2"/>
      <c r="V13" s="2"/>
    </row>
    <row r="14" spans="1:22" x14ac:dyDescent="0.25">
      <c r="A14" s="9"/>
      <c r="B14" s="9"/>
      <c r="C14" s="9"/>
      <c r="D14" s="9"/>
      <c r="E14" s="9"/>
      <c r="F14" s="9"/>
      <c r="G14" s="9"/>
      <c r="H14" s="9"/>
      <c r="J14" s="2"/>
      <c r="K14" s="2"/>
      <c r="L14" s="2"/>
      <c r="M14" s="2"/>
      <c r="N14" s="2"/>
      <c r="O14" s="2"/>
      <c r="P14" s="2"/>
      <c r="Q14" s="2"/>
      <c r="R14" s="2"/>
      <c r="S14" s="2"/>
      <c r="T14" s="2"/>
      <c r="U14" s="2"/>
      <c r="V14" s="2"/>
    </row>
    <row r="15" spans="1:22" x14ac:dyDescent="0.25">
      <c r="A15" s="9"/>
      <c r="B15" s="9"/>
      <c r="C15" s="9"/>
      <c r="D15" s="9"/>
      <c r="E15" s="9"/>
      <c r="F15" s="9"/>
      <c r="G15" s="9"/>
      <c r="H15" s="9"/>
      <c r="J15" s="2"/>
      <c r="K15" s="2"/>
      <c r="L15" s="2"/>
      <c r="M15" s="2"/>
      <c r="N15" s="2"/>
      <c r="O15" s="2"/>
      <c r="P15" s="2"/>
      <c r="Q15" s="2"/>
      <c r="R15" s="2"/>
      <c r="S15" s="2"/>
      <c r="T15" s="2"/>
      <c r="U15" s="2"/>
      <c r="V15" s="2"/>
    </row>
    <row r="16" spans="1:22" x14ac:dyDescent="0.25">
      <c r="A16" s="9"/>
      <c r="B16" s="9"/>
      <c r="C16" s="9"/>
      <c r="D16" s="9"/>
      <c r="E16" s="9"/>
      <c r="F16" s="9"/>
      <c r="G16" s="9"/>
      <c r="H16" s="9"/>
      <c r="J16" s="2"/>
      <c r="K16" s="2"/>
      <c r="L16" s="2"/>
      <c r="M16" s="2"/>
      <c r="N16" s="2"/>
      <c r="O16" s="2"/>
      <c r="P16" s="2"/>
      <c r="Q16" s="2"/>
      <c r="R16" s="2"/>
      <c r="S16" s="2"/>
      <c r="T16" s="2"/>
      <c r="U16" s="2"/>
      <c r="V16" s="2"/>
    </row>
    <row r="17" spans="1:22" x14ac:dyDescent="0.25">
      <c r="A17" s="9"/>
      <c r="B17" s="9"/>
      <c r="C17" s="9"/>
      <c r="D17" s="9"/>
      <c r="E17" s="9"/>
      <c r="F17" s="9"/>
      <c r="G17" s="9"/>
      <c r="H17" s="9"/>
      <c r="J17" s="2"/>
      <c r="K17" s="2"/>
      <c r="L17" s="2"/>
      <c r="M17" s="2"/>
      <c r="N17" s="2"/>
      <c r="O17" s="2"/>
      <c r="P17" s="2"/>
      <c r="Q17" s="2"/>
      <c r="R17" s="2"/>
      <c r="S17" s="2"/>
      <c r="T17" s="2"/>
      <c r="U17" s="2"/>
      <c r="V17" s="2"/>
    </row>
    <row r="18" spans="1:22" x14ac:dyDescent="0.25">
      <c r="J18" s="2"/>
      <c r="K18" s="2"/>
      <c r="L18" s="2"/>
      <c r="M18" s="2"/>
      <c r="N18" s="2"/>
      <c r="O18" s="2"/>
      <c r="P18" s="2"/>
      <c r="Q18" s="2"/>
      <c r="R18" s="2"/>
      <c r="S18" s="2"/>
      <c r="T18" s="2"/>
      <c r="U18" s="2"/>
      <c r="V18" s="2"/>
    </row>
    <row r="19" spans="1:22" ht="15.75" x14ac:dyDescent="0.25">
      <c r="A19" s="3" t="s">
        <v>22</v>
      </c>
      <c r="B19" t="str">
        <f>IF(OR(AND(E2&gt;80000,F2&gt;90),G2="Excellent"),"Bonus Eligible","Not Eligible")</f>
        <v>Bonus Eligible</v>
      </c>
    </row>
    <row r="21" spans="1:22" ht="15.75" customHeight="1" x14ac:dyDescent="0.25">
      <c r="A21" s="10" t="s">
        <v>24</v>
      </c>
      <c r="B21" s="11"/>
      <c r="C21" s="11"/>
      <c r="D21" s="11"/>
      <c r="E21" s="11"/>
      <c r="F21" s="11"/>
      <c r="G21" s="11"/>
      <c r="H21" s="11"/>
    </row>
    <row r="22" spans="1:22" ht="15" customHeight="1" x14ac:dyDescent="0.25">
      <c r="A22" s="11"/>
      <c r="B22" s="11"/>
      <c r="C22" s="11"/>
      <c r="D22" s="11"/>
      <c r="E22" s="11"/>
      <c r="F22" s="11"/>
      <c r="G22" s="11"/>
      <c r="H22" s="11"/>
    </row>
    <row r="23" spans="1:22" ht="15" customHeight="1" x14ac:dyDescent="0.25">
      <c r="A23" s="11"/>
      <c r="B23" s="11"/>
      <c r="C23" s="11"/>
      <c r="D23" s="11"/>
      <c r="E23" s="11"/>
      <c r="F23" s="11"/>
      <c r="G23" s="11"/>
      <c r="H23" s="11"/>
    </row>
    <row r="24" spans="1:22" ht="15" customHeight="1" x14ac:dyDescent="0.25">
      <c r="A24" s="11"/>
      <c r="B24" s="11"/>
      <c r="C24" s="11"/>
      <c r="D24" s="11"/>
      <c r="E24" s="11"/>
      <c r="F24" s="11"/>
      <c r="G24" s="11"/>
      <c r="H24" s="11"/>
    </row>
    <row r="25" spans="1:22" x14ac:dyDescent="0.25">
      <c r="A25" s="11"/>
      <c r="B25" s="11"/>
      <c r="C25" s="11"/>
      <c r="D25" s="11"/>
      <c r="E25" s="11"/>
      <c r="F25" s="11"/>
      <c r="G25" s="11"/>
      <c r="H25" s="11"/>
    </row>
    <row r="26" spans="1:22" x14ac:dyDescent="0.25">
      <c r="A26" s="11"/>
      <c r="B26" s="11"/>
      <c r="C26" s="11"/>
      <c r="D26" s="11"/>
      <c r="E26" s="11"/>
      <c r="F26" s="11"/>
      <c r="G26" s="11"/>
      <c r="H26" s="11"/>
    </row>
    <row r="28" spans="1:22" ht="15.75" x14ac:dyDescent="0.25">
      <c r="A28" s="3" t="s">
        <v>25</v>
      </c>
      <c r="B28" t="str">
        <f>IF(D2&gt;65000,"High Income Group",IF(AND(D2&gt;50000,D2&lt;65000),"Medium Income Group","Basic Income Group"))</f>
        <v>Medium Income Group</v>
      </c>
    </row>
    <row r="30" spans="1:22" ht="15" customHeight="1" x14ac:dyDescent="0.25">
      <c r="A30" s="13" t="s">
        <v>28</v>
      </c>
      <c r="B30" s="13"/>
      <c r="C30" s="13"/>
      <c r="D30" s="13"/>
      <c r="E30" s="13"/>
      <c r="F30" s="13"/>
      <c r="G30" s="13"/>
      <c r="H30" s="13"/>
    </row>
    <row r="31" spans="1:22" x14ac:dyDescent="0.25">
      <c r="A31" s="13"/>
      <c r="B31" s="13"/>
      <c r="C31" s="13"/>
      <c r="D31" s="13"/>
      <c r="E31" s="13"/>
      <c r="F31" s="13"/>
      <c r="G31" s="13"/>
      <c r="H31" s="13"/>
    </row>
    <row r="32" spans="1:22" x14ac:dyDescent="0.25">
      <c r="A32" s="13"/>
      <c r="B32" s="13"/>
      <c r="C32" s="13"/>
      <c r="D32" s="13"/>
      <c r="E32" s="13"/>
      <c r="F32" s="13"/>
      <c r="G32" s="13"/>
      <c r="H32" s="13"/>
    </row>
    <row r="34" spans="1:7" ht="15.75" x14ac:dyDescent="0.25">
      <c r="A34" s="3" t="s">
        <v>25</v>
      </c>
      <c r="B34" s="1">
        <f>SUMIF(C2:C9,"IT",D2:D9)</f>
        <v>196000</v>
      </c>
    </row>
    <row r="36" spans="1:7" x14ac:dyDescent="0.25">
      <c r="A36" s="13" t="s">
        <v>27</v>
      </c>
      <c r="B36" s="14"/>
      <c r="C36" s="14"/>
      <c r="D36" s="14"/>
      <c r="E36" s="14"/>
      <c r="F36" s="14"/>
      <c r="G36" s="14"/>
    </row>
    <row r="37" spans="1:7" x14ac:dyDescent="0.25">
      <c r="A37" s="14"/>
      <c r="B37" s="14"/>
      <c r="C37" s="14"/>
      <c r="D37" s="14"/>
      <c r="E37" s="14"/>
      <c r="F37" s="14"/>
      <c r="G37" s="14"/>
    </row>
    <row r="38" spans="1:7" x14ac:dyDescent="0.25">
      <c r="A38" s="14"/>
      <c r="B38" s="14"/>
      <c r="C38" s="14"/>
      <c r="D38" s="14"/>
      <c r="E38" s="14"/>
      <c r="F38" s="14"/>
      <c r="G38" s="14"/>
    </row>
    <row r="40" spans="1:7" ht="15.75" x14ac:dyDescent="0.25">
      <c r="A40" s="3" t="s">
        <v>25</v>
      </c>
      <c r="B40" s="1">
        <f>COUNTIF(F2:F9,"&gt;90")</f>
        <v>5</v>
      </c>
    </row>
    <row r="42" spans="1:7" x14ac:dyDescent="0.25">
      <c r="A42" s="13" t="s">
        <v>29</v>
      </c>
      <c r="B42" s="14"/>
      <c r="C42" s="14"/>
      <c r="D42" s="14"/>
      <c r="E42" s="14"/>
      <c r="F42" s="14"/>
      <c r="G42" s="14"/>
    </row>
    <row r="43" spans="1:7" x14ac:dyDescent="0.25">
      <c r="A43" s="14"/>
      <c r="B43" s="14"/>
      <c r="C43" s="14"/>
      <c r="D43" s="14"/>
      <c r="E43" s="14"/>
      <c r="F43" s="14"/>
      <c r="G43" s="14"/>
    </row>
    <row r="45" spans="1:7" ht="15.75" x14ac:dyDescent="0.25">
      <c r="A45" s="3" t="s">
        <v>25</v>
      </c>
      <c r="B45" s="1">
        <f>AVERAGEIF(E2:E9,"&gt;75000")</f>
        <v>93250</v>
      </c>
    </row>
    <row r="47" spans="1:7" ht="15" customHeight="1" x14ac:dyDescent="0.25">
      <c r="A47" s="13" t="s">
        <v>30</v>
      </c>
      <c r="B47" s="13"/>
      <c r="C47" s="13"/>
      <c r="D47" s="13"/>
      <c r="E47" s="13"/>
      <c r="F47" s="13"/>
      <c r="G47" s="13"/>
    </row>
    <row r="48" spans="1:7" x14ac:dyDescent="0.25">
      <c r="A48" s="13"/>
      <c r="B48" s="13"/>
      <c r="C48" s="13"/>
      <c r="D48" s="13"/>
      <c r="E48" s="13"/>
      <c r="F48" s="13"/>
      <c r="G48" s="13"/>
    </row>
    <row r="49" spans="1:7" x14ac:dyDescent="0.25">
      <c r="A49" s="13"/>
      <c r="B49" s="13"/>
      <c r="C49" s="13"/>
      <c r="D49" s="13"/>
      <c r="E49" s="13"/>
      <c r="F49" s="13"/>
      <c r="G49" s="13"/>
    </row>
    <row r="50" spans="1:7" x14ac:dyDescent="0.25">
      <c r="A50" s="13"/>
      <c r="B50" s="13"/>
      <c r="C50" s="13"/>
      <c r="D50" s="13"/>
      <c r="E50" s="13"/>
      <c r="F50" s="13"/>
      <c r="G50" s="13"/>
    </row>
    <row r="51" spans="1:7" x14ac:dyDescent="0.25">
      <c r="A51" s="13"/>
      <c r="B51" s="13"/>
      <c r="C51" s="13"/>
      <c r="D51" s="13"/>
      <c r="E51" s="13"/>
      <c r="F51" s="13"/>
      <c r="G51" s="13"/>
    </row>
    <row r="52" spans="1:7" x14ac:dyDescent="0.25">
      <c r="A52" s="13"/>
      <c r="B52" s="13"/>
      <c r="C52" s="13"/>
      <c r="D52" s="13"/>
      <c r="E52" s="13"/>
      <c r="F52" s="13"/>
      <c r="G52" s="13"/>
    </row>
    <row r="54" spans="1:7" ht="15.75" x14ac:dyDescent="0.25">
      <c r="A54" s="3" t="s">
        <v>25</v>
      </c>
      <c r="B54" t="str">
        <f>IF(OR(AND(D2&gt;60000,E2&gt;90000),G2="Excellent",F2&gt;95),"Top Performer","Average Performer")</f>
        <v>Top Performer</v>
      </c>
    </row>
    <row r="56" spans="1:7" x14ac:dyDescent="0.25">
      <c r="A56" s="13" t="s">
        <v>31</v>
      </c>
      <c r="B56" s="14"/>
      <c r="C56" s="14"/>
      <c r="D56" s="14"/>
      <c r="E56" s="14"/>
      <c r="F56" s="14"/>
      <c r="G56" s="14"/>
    </row>
    <row r="57" spans="1:7" x14ac:dyDescent="0.25">
      <c r="A57" s="14"/>
      <c r="B57" s="14"/>
      <c r="C57" s="14"/>
      <c r="D57" s="14"/>
      <c r="E57" s="14"/>
      <c r="F57" s="14"/>
      <c r="G57" s="14"/>
    </row>
    <row r="58" spans="1:7" x14ac:dyDescent="0.25">
      <c r="A58" s="14"/>
      <c r="B58" s="14"/>
      <c r="C58" s="14"/>
      <c r="D58" s="14"/>
      <c r="E58" s="14"/>
      <c r="F58" s="14"/>
      <c r="G58" s="14"/>
    </row>
    <row r="59" spans="1:7" x14ac:dyDescent="0.25">
      <c r="A59" s="14"/>
      <c r="B59" s="14"/>
      <c r="C59" s="14"/>
      <c r="D59" s="14"/>
      <c r="E59" s="14"/>
      <c r="F59" s="14"/>
      <c r="G59" s="14"/>
    </row>
    <row r="60" spans="1:7" x14ac:dyDescent="0.25">
      <c r="A60" s="14"/>
      <c r="B60" s="14"/>
      <c r="C60" s="14"/>
      <c r="D60" s="14"/>
      <c r="E60" s="14"/>
      <c r="F60" s="14"/>
      <c r="G60" s="14"/>
    </row>
    <row r="61" spans="1:7" x14ac:dyDescent="0.25">
      <c r="A61" s="14"/>
      <c r="B61" s="14"/>
      <c r="C61" s="14"/>
      <c r="D61" s="14"/>
      <c r="E61" s="14"/>
      <c r="F61" s="14"/>
      <c r="G61" s="14"/>
    </row>
    <row r="63" spans="1:7" ht="15.75" x14ac:dyDescent="0.25">
      <c r="A63" s="3" t="s">
        <v>25</v>
      </c>
      <c r="B63" t="str">
        <f>IF(E2&gt;100000,"Outstanding",IF(AND(E2&gt;75000,E2&lt;100000),"Very Good",IF(AND(E2&gt;50000,E2&lt;75000),"Good","Needs Improvement")))</f>
        <v>Very Good</v>
      </c>
    </row>
    <row r="65" spans="1:7" x14ac:dyDescent="0.25">
      <c r="A65" s="13" t="s">
        <v>34</v>
      </c>
      <c r="B65" s="14"/>
      <c r="C65" s="14"/>
      <c r="D65" s="14"/>
      <c r="E65" s="14"/>
      <c r="F65" s="14"/>
      <c r="G65" s="14"/>
    </row>
    <row r="66" spans="1:7" x14ac:dyDescent="0.25">
      <c r="A66" s="14"/>
      <c r="B66" s="14"/>
      <c r="C66" s="14"/>
      <c r="D66" s="14"/>
      <c r="E66" s="14"/>
      <c r="F66" s="14"/>
      <c r="G66" s="14"/>
    </row>
    <row r="67" spans="1:7" x14ac:dyDescent="0.25">
      <c r="A67" s="14"/>
      <c r="B67" s="14"/>
      <c r="C67" s="14"/>
      <c r="D67" s="14"/>
      <c r="E67" s="14"/>
      <c r="F67" s="14"/>
      <c r="G67" s="14"/>
    </row>
    <row r="69" spans="1:7" ht="15.75" x14ac:dyDescent="0.25">
      <c r="A69" s="3" t="s">
        <v>25</v>
      </c>
      <c r="B69" s="1">
        <f>COUNTIF(G2:G9,"Excellent")</f>
        <v>4</v>
      </c>
    </row>
  </sheetData>
  <mergeCells count="9">
    <mergeCell ref="A13:H17"/>
    <mergeCell ref="A21:H26"/>
    <mergeCell ref="A11:B11"/>
    <mergeCell ref="A56:G61"/>
    <mergeCell ref="A65:G67"/>
    <mergeCell ref="A30:H32"/>
    <mergeCell ref="A36:G38"/>
    <mergeCell ref="A42:G43"/>
    <mergeCell ref="A47:G5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AA12E5-0C8B-4E1A-BDB0-CB53B95CFC26}">
  <dimension ref="A1:N63"/>
  <sheetViews>
    <sheetView workbookViewId="0">
      <selection activeCell="B25" sqref="B25"/>
    </sheetView>
  </sheetViews>
  <sheetFormatPr defaultRowHeight="15" x14ac:dyDescent="0.25"/>
  <cols>
    <col min="1" max="1" width="8.140625" bestFit="1" customWidth="1"/>
    <col min="2" max="2" width="11.28515625" bestFit="1" customWidth="1"/>
    <col min="3" max="3" width="5.5703125" bestFit="1" customWidth="1"/>
    <col min="4" max="4" width="7.85546875" bestFit="1" customWidth="1"/>
    <col min="5" max="5" width="7.140625" bestFit="1" customWidth="1"/>
    <col min="6" max="6" width="8.28515625" bestFit="1" customWidth="1"/>
    <col min="7" max="7" width="10.7109375" bestFit="1" customWidth="1"/>
    <col min="8" max="8" width="14.28515625" bestFit="1" customWidth="1"/>
    <col min="9" max="9" width="11.28515625" bestFit="1" customWidth="1"/>
    <col min="10" max="10" width="13.85546875" bestFit="1" customWidth="1"/>
    <col min="11" max="11" width="13.5703125" bestFit="1" customWidth="1"/>
    <col min="12" max="12" width="6.85546875" bestFit="1" customWidth="1"/>
    <col min="13" max="13" width="20.5703125" bestFit="1" customWidth="1"/>
    <col min="14" max="14" width="20.7109375" bestFit="1" customWidth="1"/>
  </cols>
  <sheetData>
    <row r="1" spans="1:14" ht="15.75" x14ac:dyDescent="0.25">
      <c r="A1" s="7" t="s">
        <v>36</v>
      </c>
      <c r="B1" s="7" t="s">
        <v>37</v>
      </c>
      <c r="C1" s="7" t="s">
        <v>40</v>
      </c>
      <c r="D1" s="7" t="s">
        <v>43</v>
      </c>
      <c r="E1" s="7" t="s">
        <v>44</v>
      </c>
      <c r="F1" s="7" t="s">
        <v>45</v>
      </c>
      <c r="G1" s="7" t="s">
        <v>46</v>
      </c>
      <c r="H1" s="7" t="s">
        <v>47</v>
      </c>
      <c r="I1" s="6" t="s">
        <v>48</v>
      </c>
      <c r="J1" s="7" t="s">
        <v>49</v>
      </c>
      <c r="K1" s="7" t="s">
        <v>52</v>
      </c>
      <c r="L1" s="7" t="s">
        <v>54</v>
      </c>
      <c r="M1" s="7" t="s">
        <v>32</v>
      </c>
      <c r="N1" s="7" t="s">
        <v>60</v>
      </c>
    </row>
    <row r="2" spans="1:14" x14ac:dyDescent="0.25">
      <c r="A2" s="5">
        <v>101</v>
      </c>
      <c r="B2" s="5" t="s">
        <v>38</v>
      </c>
      <c r="C2" s="5" t="s">
        <v>41</v>
      </c>
      <c r="D2" s="5">
        <v>85</v>
      </c>
      <c r="E2" s="5">
        <v>92</v>
      </c>
      <c r="F2" s="5">
        <v>88</v>
      </c>
      <c r="G2" s="5">
        <v>91</v>
      </c>
      <c r="H2" s="5">
        <v>95</v>
      </c>
      <c r="I2" s="5">
        <f>SUM(D2:G2)</f>
        <v>356</v>
      </c>
      <c r="J2" s="5">
        <f>(I2/400)*100</f>
        <v>89</v>
      </c>
      <c r="K2" s="5" t="str">
        <f>IF(OR(AND(J2&gt;85,H2&gt;90),G2&gt;95),"Approved","Not Approved")</f>
        <v>Approved</v>
      </c>
      <c r="L2" s="5" t="str">
        <f>IF(J2&gt;=90,"A+",IF(J2&gt;=75,"A",IF(J2&gt;=60,"B",IF(J2&gt;=40,"C","Fail"))))</f>
        <v>A</v>
      </c>
      <c r="M2" s="5" t="str">
        <f>IF(OR(D2&lt;50,E2&lt;50,F2&lt;50,G2&lt;50),"Needs Improvement","Satisfactory")</f>
        <v>Satisfactory</v>
      </c>
      <c r="N2" s="5" t="str">
        <f>IF(AND(AND(D2&gt;85,E2&gt;85,F2&gt;85,G2&gt;85),H2&gt;90),"Eligible","Not Eligible")</f>
        <v>Not Eligible</v>
      </c>
    </row>
    <row r="3" spans="1:14" x14ac:dyDescent="0.25">
      <c r="A3" s="5">
        <v>102</v>
      </c>
      <c r="B3" s="5" t="s">
        <v>7</v>
      </c>
      <c r="C3" s="5" t="s">
        <v>41</v>
      </c>
      <c r="D3" s="5">
        <v>72</v>
      </c>
      <c r="E3" s="5">
        <v>65</v>
      </c>
      <c r="F3" s="5">
        <v>70</v>
      </c>
      <c r="G3" s="5">
        <v>68</v>
      </c>
      <c r="H3" s="5">
        <v>89</v>
      </c>
      <c r="I3" s="5">
        <f t="shared" ref="I3:I9" si="0">SUM(D3:G3)</f>
        <v>275</v>
      </c>
      <c r="J3" s="5">
        <f t="shared" ref="J3:J9" si="1">(I3/400)*100</f>
        <v>68.75</v>
      </c>
      <c r="K3" s="5" t="str">
        <f t="shared" ref="K3:K9" si="2">IF(OR(AND(J3&gt;85,H3&gt;90),G3&gt;95),"Approved","Not Approved")</f>
        <v>Not Approved</v>
      </c>
      <c r="L3" s="5" t="str">
        <f t="shared" ref="L3:L9" si="3">IF(J3&gt;=90,"A+",IF(J3&gt;=75,"A",IF(J3&gt;=60,"B",IF(J3&gt;=40,"C","Fail"))))</f>
        <v>B</v>
      </c>
      <c r="M3" s="5" t="str">
        <f t="shared" ref="M3:M9" si="4">IF(OR(D3&lt;50,E3&lt;50,F3&lt;50,G3&lt;50),"Needs Improvement","Satisfactory")</f>
        <v>Satisfactory</v>
      </c>
      <c r="N3" s="5" t="str">
        <f t="shared" ref="N3:N9" si="5">IF(AND(AND(D3&gt;85,E3&gt;85,F3&gt;85,G3&gt;85),H3&gt;90),"Eligible","Not Eligible")</f>
        <v>Not Eligible</v>
      </c>
    </row>
    <row r="4" spans="1:14" x14ac:dyDescent="0.25">
      <c r="A4" s="5">
        <v>103</v>
      </c>
      <c r="B4" s="5" t="s">
        <v>39</v>
      </c>
      <c r="C4" s="5" t="s">
        <v>42</v>
      </c>
      <c r="D4" s="5">
        <v>90</v>
      </c>
      <c r="E4" s="5">
        <v>96</v>
      </c>
      <c r="F4" s="5">
        <v>94</v>
      </c>
      <c r="G4" s="5">
        <v>98</v>
      </c>
      <c r="H4" s="5">
        <v>98</v>
      </c>
      <c r="I4" s="5">
        <f t="shared" si="0"/>
        <v>378</v>
      </c>
      <c r="J4" s="5">
        <f t="shared" si="1"/>
        <v>94.5</v>
      </c>
      <c r="K4" s="5" t="str">
        <f t="shared" si="2"/>
        <v>Approved</v>
      </c>
      <c r="L4" s="5" t="str">
        <f t="shared" si="3"/>
        <v>A+</v>
      </c>
      <c r="M4" s="5" t="str">
        <f t="shared" si="4"/>
        <v>Satisfactory</v>
      </c>
      <c r="N4" s="5" t="str">
        <f t="shared" si="5"/>
        <v>Eligible</v>
      </c>
    </row>
    <row r="5" spans="1:14" x14ac:dyDescent="0.25">
      <c r="A5" s="5">
        <v>104</v>
      </c>
      <c r="B5" s="5" t="s">
        <v>3</v>
      </c>
      <c r="C5" s="5" t="s">
        <v>42</v>
      </c>
      <c r="D5" s="5">
        <v>60</v>
      </c>
      <c r="E5" s="5">
        <v>58</v>
      </c>
      <c r="F5" s="5">
        <v>62</v>
      </c>
      <c r="G5" s="5">
        <v>55</v>
      </c>
      <c r="H5" s="5">
        <v>80</v>
      </c>
      <c r="I5" s="5">
        <f t="shared" si="0"/>
        <v>235</v>
      </c>
      <c r="J5" s="5">
        <f t="shared" si="1"/>
        <v>58.75</v>
      </c>
      <c r="K5" s="5" t="str">
        <f t="shared" si="2"/>
        <v>Not Approved</v>
      </c>
      <c r="L5" s="5" t="str">
        <f t="shared" si="3"/>
        <v>C</v>
      </c>
      <c r="M5" s="5" t="str">
        <f t="shared" si="4"/>
        <v>Satisfactory</v>
      </c>
      <c r="N5" s="5" t="str">
        <f t="shared" si="5"/>
        <v>Not Eligible</v>
      </c>
    </row>
    <row r="6" spans="1:14" x14ac:dyDescent="0.25">
      <c r="A6" s="5">
        <v>105</v>
      </c>
      <c r="B6" s="5" t="s">
        <v>5</v>
      </c>
      <c r="C6" s="5" t="s">
        <v>41</v>
      </c>
      <c r="D6" s="5">
        <v>78</v>
      </c>
      <c r="E6" s="5">
        <v>81</v>
      </c>
      <c r="F6" s="5">
        <v>75</v>
      </c>
      <c r="G6" s="5">
        <v>84</v>
      </c>
      <c r="H6" s="5">
        <v>91</v>
      </c>
      <c r="I6" s="5">
        <f t="shared" si="0"/>
        <v>318</v>
      </c>
      <c r="J6" s="5">
        <f t="shared" si="1"/>
        <v>79.5</v>
      </c>
      <c r="K6" s="5" t="str">
        <f t="shared" si="2"/>
        <v>Not Approved</v>
      </c>
      <c r="L6" s="5" t="str">
        <f t="shared" si="3"/>
        <v>A</v>
      </c>
      <c r="M6" s="5" t="str">
        <f t="shared" si="4"/>
        <v>Satisfactory</v>
      </c>
      <c r="N6" s="5" t="str">
        <f t="shared" si="5"/>
        <v>Not Eligible</v>
      </c>
    </row>
    <row r="7" spans="1:14" x14ac:dyDescent="0.25">
      <c r="A7" s="5">
        <v>106</v>
      </c>
      <c r="B7" s="5" t="s">
        <v>8</v>
      </c>
      <c r="C7" s="5" t="s">
        <v>42</v>
      </c>
      <c r="D7" s="5">
        <v>88</v>
      </c>
      <c r="E7" s="5">
        <v>73</v>
      </c>
      <c r="F7" s="5">
        <v>85</v>
      </c>
      <c r="G7" s="5">
        <v>79</v>
      </c>
      <c r="H7" s="5">
        <v>93</v>
      </c>
      <c r="I7" s="5">
        <f t="shared" si="0"/>
        <v>325</v>
      </c>
      <c r="J7" s="5">
        <f t="shared" si="1"/>
        <v>81.25</v>
      </c>
      <c r="K7" s="5" t="str">
        <f t="shared" si="2"/>
        <v>Not Approved</v>
      </c>
      <c r="L7" s="5" t="str">
        <f t="shared" si="3"/>
        <v>A</v>
      </c>
      <c r="M7" s="5" t="str">
        <f t="shared" si="4"/>
        <v>Satisfactory</v>
      </c>
      <c r="N7" s="5" t="str">
        <f t="shared" si="5"/>
        <v>Not Eligible</v>
      </c>
    </row>
    <row r="8" spans="1:14" x14ac:dyDescent="0.25">
      <c r="A8" s="5">
        <v>107</v>
      </c>
      <c r="B8" s="5" t="s">
        <v>6</v>
      </c>
      <c r="C8" s="5" t="s">
        <v>41</v>
      </c>
      <c r="D8" s="5">
        <v>55</v>
      </c>
      <c r="E8" s="5">
        <v>49</v>
      </c>
      <c r="F8" s="5">
        <v>60</v>
      </c>
      <c r="G8" s="5">
        <v>52</v>
      </c>
      <c r="H8" s="5">
        <v>76</v>
      </c>
      <c r="I8" s="5">
        <f t="shared" si="0"/>
        <v>216</v>
      </c>
      <c r="J8" s="5">
        <f t="shared" si="1"/>
        <v>54</v>
      </c>
      <c r="K8" s="5" t="str">
        <f t="shared" si="2"/>
        <v>Not Approved</v>
      </c>
      <c r="L8" s="5" t="str">
        <f t="shared" si="3"/>
        <v>C</v>
      </c>
      <c r="M8" s="5" t="str">
        <f t="shared" si="4"/>
        <v>Needs Improvement</v>
      </c>
      <c r="N8" s="5" t="str">
        <f t="shared" si="5"/>
        <v>Not Eligible</v>
      </c>
    </row>
    <row r="9" spans="1:14" x14ac:dyDescent="0.25">
      <c r="A9" s="5">
        <v>108</v>
      </c>
      <c r="B9" s="5" t="s">
        <v>9</v>
      </c>
      <c r="C9" s="5" t="s">
        <v>42</v>
      </c>
      <c r="D9" s="5">
        <v>92</v>
      </c>
      <c r="E9" s="5">
        <v>95</v>
      </c>
      <c r="F9" s="5">
        <v>97</v>
      </c>
      <c r="G9" s="5">
        <v>99</v>
      </c>
      <c r="H9" s="5">
        <v>99</v>
      </c>
      <c r="I9" s="5">
        <f t="shared" si="0"/>
        <v>383</v>
      </c>
      <c r="J9" s="5">
        <f t="shared" si="1"/>
        <v>95.75</v>
      </c>
      <c r="K9" s="5" t="str">
        <f t="shared" si="2"/>
        <v>Approved</v>
      </c>
      <c r="L9" s="5" t="str">
        <f t="shared" si="3"/>
        <v>A+</v>
      </c>
      <c r="M9" s="5" t="str">
        <f t="shared" si="4"/>
        <v>Satisfactory</v>
      </c>
      <c r="N9" s="5" t="str">
        <f t="shared" si="5"/>
        <v>Eligible</v>
      </c>
    </row>
    <row r="10" spans="1:14" x14ac:dyDescent="0.25">
      <c r="A10" s="5"/>
      <c r="B10" s="5"/>
      <c r="C10" s="5"/>
      <c r="D10" s="5"/>
      <c r="E10" s="5"/>
      <c r="F10" s="5"/>
      <c r="G10" s="5"/>
      <c r="H10" s="5"/>
      <c r="I10" s="5"/>
    </row>
    <row r="11" spans="1:14" ht="21" x14ac:dyDescent="0.35">
      <c r="A11" s="12" t="s">
        <v>20</v>
      </c>
      <c r="B11" s="12"/>
      <c r="C11" s="12"/>
    </row>
    <row r="13" spans="1:14" x14ac:dyDescent="0.25">
      <c r="A13" s="9" t="s">
        <v>50</v>
      </c>
      <c r="B13" s="15"/>
      <c r="C13" s="15"/>
      <c r="D13" s="15"/>
      <c r="E13" s="15"/>
      <c r="F13" s="15"/>
      <c r="G13" s="15"/>
      <c r="H13" s="15"/>
      <c r="I13" s="15"/>
      <c r="J13" s="15"/>
    </row>
    <row r="14" spans="1:14" x14ac:dyDescent="0.25">
      <c r="A14" s="15"/>
      <c r="B14" s="15"/>
      <c r="C14" s="15"/>
      <c r="D14" s="15"/>
      <c r="E14" s="15"/>
      <c r="F14" s="15"/>
      <c r="G14" s="15"/>
      <c r="H14" s="15"/>
      <c r="I14" s="15"/>
      <c r="J14" s="15"/>
    </row>
    <row r="16" spans="1:14" ht="15.75" x14ac:dyDescent="0.25">
      <c r="A16" s="3" t="s">
        <v>25</v>
      </c>
      <c r="B16" s="5">
        <f>SUM(D2:G2)</f>
        <v>356</v>
      </c>
      <c r="C16" s="5">
        <f>(I2/400)*100</f>
        <v>89</v>
      </c>
    </row>
    <row r="18" spans="1:10" ht="15" customHeight="1" x14ac:dyDescent="0.25">
      <c r="A18" s="11" t="s">
        <v>51</v>
      </c>
      <c r="B18" s="11"/>
      <c r="C18" s="11"/>
      <c r="D18" s="11"/>
      <c r="E18" s="11"/>
      <c r="F18" s="11"/>
      <c r="G18" s="11"/>
      <c r="H18" s="11"/>
      <c r="I18" s="11"/>
      <c r="J18" s="11"/>
    </row>
    <row r="19" spans="1:10" ht="15" customHeight="1" x14ac:dyDescent="0.25">
      <c r="A19" s="11"/>
      <c r="B19" s="11"/>
      <c r="C19" s="11"/>
      <c r="D19" s="11"/>
      <c r="E19" s="11"/>
      <c r="F19" s="11"/>
      <c r="G19" s="11"/>
      <c r="H19" s="11"/>
      <c r="I19" s="11"/>
      <c r="J19" s="11"/>
    </row>
    <row r="20" spans="1:10" ht="15" customHeight="1" x14ac:dyDescent="0.25">
      <c r="A20" s="11"/>
      <c r="B20" s="11"/>
      <c r="C20" s="11"/>
      <c r="D20" s="11"/>
      <c r="E20" s="11"/>
      <c r="F20" s="11"/>
      <c r="G20" s="11"/>
      <c r="H20" s="11"/>
      <c r="I20" s="11"/>
      <c r="J20" s="11"/>
    </row>
    <row r="21" spans="1:10" ht="15" customHeight="1" x14ac:dyDescent="0.25">
      <c r="A21" s="11"/>
      <c r="B21" s="11"/>
      <c r="C21" s="11"/>
      <c r="D21" s="11"/>
      <c r="E21" s="11"/>
      <c r="F21" s="11"/>
      <c r="G21" s="11"/>
      <c r="H21" s="11"/>
      <c r="I21" s="11"/>
      <c r="J21" s="11"/>
    </row>
    <row r="22" spans="1:10" ht="15" customHeight="1" x14ac:dyDescent="0.25">
      <c r="A22" s="11"/>
      <c r="B22" s="11"/>
      <c r="C22" s="11"/>
      <c r="D22" s="11"/>
      <c r="E22" s="11"/>
      <c r="F22" s="11"/>
      <c r="G22" s="11"/>
      <c r="H22" s="11"/>
      <c r="I22" s="11"/>
      <c r="J22" s="11"/>
    </row>
    <row r="23" spans="1:10" x14ac:dyDescent="0.25">
      <c r="A23" s="11"/>
      <c r="B23" s="11"/>
      <c r="C23" s="11"/>
      <c r="D23" s="11"/>
      <c r="E23" s="11"/>
      <c r="F23" s="11"/>
      <c r="G23" s="11"/>
      <c r="H23" s="11"/>
      <c r="I23" s="11"/>
      <c r="J23" s="11"/>
    </row>
    <row r="25" spans="1:10" ht="15.75" x14ac:dyDescent="0.25">
      <c r="A25" s="3" t="s">
        <v>25</v>
      </c>
      <c r="B25" t="str">
        <f>IF(OR(AND(J2&gt;85,H2&gt;90),G2&gt;95),"Approved","Not Approved")</f>
        <v>Approved</v>
      </c>
    </row>
    <row r="27" spans="1:10" ht="15" customHeight="1" x14ac:dyDescent="0.25">
      <c r="A27" s="9" t="s">
        <v>53</v>
      </c>
      <c r="B27" s="9"/>
      <c r="C27" s="9"/>
      <c r="D27" s="9"/>
      <c r="E27" s="9"/>
      <c r="F27" s="9"/>
      <c r="G27" s="9"/>
      <c r="H27" s="9"/>
      <c r="I27" s="9"/>
      <c r="J27" s="9"/>
    </row>
    <row r="28" spans="1:10" x14ac:dyDescent="0.25">
      <c r="A28" s="9"/>
      <c r="B28" s="9"/>
      <c r="C28" s="9"/>
      <c r="D28" s="9"/>
      <c r="E28" s="9"/>
      <c r="F28" s="9"/>
      <c r="G28" s="9"/>
      <c r="H28" s="9"/>
      <c r="I28" s="9"/>
      <c r="J28" s="9"/>
    </row>
    <row r="29" spans="1:10" x14ac:dyDescent="0.25">
      <c r="A29" s="9"/>
      <c r="B29" s="9"/>
      <c r="C29" s="9"/>
      <c r="D29" s="9"/>
      <c r="E29" s="9"/>
      <c r="F29" s="9"/>
      <c r="G29" s="9"/>
      <c r="H29" s="9"/>
      <c r="I29" s="9"/>
      <c r="J29" s="9"/>
    </row>
    <row r="30" spans="1:10" x14ac:dyDescent="0.25">
      <c r="A30" s="9"/>
      <c r="B30" s="9"/>
      <c r="C30" s="9"/>
      <c r="D30" s="9"/>
      <c r="E30" s="9"/>
      <c r="F30" s="9"/>
      <c r="G30" s="9"/>
      <c r="H30" s="9"/>
      <c r="I30" s="9"/>
      <c r="J30" s="9"/>
    </row>
    <row r="31" spans="1:10" x14ac:dyDescent="0.25">
      <c r="A31" s="9"/>
      <c r="B31" s="9"/>
      <c r="C31" s="9"/>
      <c r="D31" s="9"/>
      <c r="E31" s="9"/>
      <c r="F31" s="9"/>
      <c r="G31" s="9"/>
      <c r="H31" s="9"/>
      <c r="I31" s="9"/>
      <c r="J31" s="9"/>
    </row>
    <row r="32" spans="1:10" x14ac:dyDescent="0.25">
      <c r="A32" s="9"/>
      <c r="B32" s="9"/>
      <c r="C32" s="9"/>
      <c r="D32" s="9"/>
      <c r="E32" s="9"/>
      <c r="F32" s="9"/>
      <c r="G32" s="9"/>
      <c r="H32" s="9"/>
      <c r="I32" s="9"/>
      <c r="J32" s="9"/>
    </row>
    <row r="34" spans="1:10" ht="15.75" x14ac:dyDescent="0.25">
      <c r="A34" s="3" t="s">
        <v>25</v>
      </c>
      <c r="B34" t="str">
        <f>IF(J2&gt;=90,"A+",IF(J2&gt;=75,"A",IF(J2&gt;=60,"B",IF(J2&gt;=40,"C","Fail"))))</f>
        <v>A</v>
      </c>
    </row>
    <row r="36" spans="1:10" x14ac:dyDescent="0.25">
      <c r="A36" s="9" t="s">
        <v>55</v>
      </c>
      <c r="B36" s="15"/>
      <c r="C36" s="15"/>
      <c r="D36" s="15"/>
      <c r="E36" s="15"/>
      <c r="F36" s="15"/>
      <c r="G36" s="15"/>
      <c r="H36" s="15"/>
      <c r="I36" s="15"/>
      <c r="J36" s="15"/>
    </row>
    <row r="37" spans="1:10" x14ac:dyDescent="0.25">
      <c r="A37" s="15"/>
      <c r="B37" s="15"/>
      <c r="C37" s="15"/>
      <c r="D37" s="15"/>
      <c r="E37" s="15"/>
      <c r="F37" s="15"/>
      <c r="G37" s="15"/>
      <c r="H37" s="15"/>
      <c r="I37" s="15"/>
      <c r="J37" s="15"/>
    </row>
    <row r="39" spans="1:10" ht="15.75" x14ac:dyDescent="0.25">
      <c r="A39" s="3" t="s">
        <v>25</v>
      </c>
      <c r="B39" s="5">
        <f>AVERAGEIF(E2:E9,"&gt;70",E2:E9)</f>
        <v>87.4</v>
      </c>
    </row>
    <row r="41" spans="1:10" x14ac:dyDescent="0.25">
      <c r="A41" s="9" t="s">
        <v>56</v>
      </c>
      <c r="B41" s="15"/>
      <c r="C41" s="15"/>
      <c r="D41" s="15"/>
      <c r="E41" s="15"/>
      <c r="F41" s="15"/>
      <c r="G41" s="15"/>
      <c r="H41" s="15"/>
      <c r="I41" s="15"/>
      <c r="J41" s="15"/>
    </row>
    <row r="42" spans="1:10" x14ac:dyDescent="0.25">
      <c r="A42" s="15"/>
      <c r="B42" s="15"/>
      <c r="C42" s="15"/>
      <c r="D42" s="15"/>
      <c r="E42" s="15"/>
      <c r="F42" s="15"/>
      <c r="G42" s="15"/>
      <c r="H42" s="15"/>
      <c r="I42" s="15"/>
      <c r="J42" s="15"/>
    </row>
    <row r="44" spans="1:10" ht="15.75" x14ac:dyDescent="0.25">
      <c r="A44" s="3" t="s">
        <v>25</v>
      </c>
      <c r="B44" s="5">
        <f>SUMIF(C2:C9,"12A",D2:D9)</f>
        <v>290</v>
      </c>
    </row>
    <row r="46" spans="1:10" x14ac:dyDescent="0.25">
      <c r="A46" s="9" t="s">
        <v>57</v>
      </c>
      <c r="B46" s="15"/>
      <c r="C46" s="15"/>
      <c r="D46" s="15"/>
      <c r="E46" s="15"/>
      <c r="F46" s="15"/>
      <c r="G46" s="15"/>
      <c r="H46" s="15"/>
      <c r="I46" s="15"/>
      <c r="J46" s="15"/>
    </row>
    <row r="47" spans="1:10" x14ac:dyDescent="0.25">
      <c r="A47" s="15"/>
      <c r="B47" s="15"/>
      <c r="C47" s="15"/>
      <c r="D47" s="15"/>
      <c r="E47" s="15"/>
      <c r="F47" s="15"/>
      <c r="G47" s="15"/>
      <c r="H47" s="15"/>
      <c r="I47" s="15"/>
      <c r="J47" s="15"/>
    </row>
    <row r="48" spans="1:10" x14ac:dyDescent="0.25">
      <c r="A48" s="15"/>
      <c r="B48" s="15"/>
      <c r="C48" s="15"/>
      <c r="D48" s="15"/>
      <c r="E48" s="15"/>
      <c r="F48" s="15"/>
      <c r="G48" s="15"/>
      <c r="H48" s="15"/>
      <c r="I48" s="15"/>
      <c r="J48" s="15"/>
    </row>
    <row r="50" spans="1:10" ht="15.75" x14ac:dyDescent="0.25">
      <c r="A50" s="3" t="s">
        <v>25</v>
      </c>
      <c r="B50" t="str">
        <f>IF(OR(D2&lt;50,E2&lt;50,F2&lt;50,G2&lt;50),"Needs Improvement","Satisfactory")</f>
        <v>Satisfactory</v>
      </c>
    </row>
    <row r="52" spans="1:10" x14ac:dyDescent="0.25">
      <c r="A52" s="13" t="s">
        <v>58</v>
      </c>
      <c r="B52" s="14"/>
      <c r="C52" s="14"/>
      <c r="D52" s="14"/>
      <c r="E52" s="14"/>
      <c r="F52" s="14"/>
      <c r="G52" s="14"/>
      <c r="H52" s="14"/>
      <c r="I52" s="14"/>
      <c r="J52" s="14"/>
    </row>
    <row r="53" spans="1:10" x14ac:dyDescent="0.25">
      <c r="A53" s="14"/>
      <c r="B53" s="14"/>
      <c r="C53" s="14"/>
      <c r="D53" s="14"/>
      <c r="E53" s="14"/>
      <c r="F53" s="14"/>
      <c r="G53" s="14"/>
      <c r="H53" s="14"/>
      <c r="I53" s="14"/>
      <c r="J53" s="14"/>
    </row>
    <row r="55" spans="1:10" ht="15.75" x14ac:dyDescent="0.25">
      <c r="A55" s="3" t="s">
        <v>25</v>
      </c>
      <c r="B55" s="5">
        <f>COUNTIF(J2:J9,"&gt;90")</f>
        <v>2</v>
      </c>
    </row>
    <row r="57" spans="1:10" ht="15" customHeight="1" x14ac:dyDescent="0.25">
      <c r="A57" s="9" t="s">
        <v>59</v>
      </c>
      <c r="B57" s="9"/>
      <c r="C57" s="9"/>
      <c r="D57" s="9"/>
      <c r="E57" s="9"/>
      <c r="F57" s="9"/>
      <c r="G57" s="9"/>
      <c r="H57" s="9"/>
      <c r="I57" s="9"/>
      <c r="J57" s="9"/>
    </row>
    <row r="58" spans="1:10" x14ac:dyDescent="0.25">
      <c r="A58" s="9"/>
      <c r="B58" s="9"/>
      <c r="C58" s="9"/>
      <c r="D58" s="9"/>
      <c r="E58" s="9"/>
      <c r="F58" s="9"/>
      <c r="G58" s="9"/>
      <c r="H58" s="9"/>
      <c r="I58" s="9"/>
      <c r="J58" s="9"/>
    </row>
    <row r="59" spans="1:10" x14ac:dyDescent="0.25">
      <c r="A59" s="9"/>
      <c r="B59" s="9"/>
      <c r="C59" s="9"/>
      <c r="D59" s="9"/>
      <c r="E59" s="9"/>
      <c r="F59" s="9"/>
      <c r="G59" s="9"/>
      <c r="H59" s="9"/>
      <c r="I59" s="9"/>
      <c r="J59" s="9"/>
    </row>
    <row r="60" spans="1:10" x14ac:dyDescent="0.25">
      <c r="A60" s="9"/>
      <c r="B60" s="9"/>
      <c r="C60" s="9"/>
      <c r="D60" s="9"/>
      <c r="E60" s="9"/>
      <c r="F60" s="9"/>
      <c r="G60" s="9"/>
      <c r="H60" s="9"/>
      <c r="I60" s="9"/>
      <c r="J60" s="9"/>
    </row>
    <row r="61" spans="1:10" x14ac:dyDescent="0.25">
      <c r="A61" s="9"/>
      <c r="B61" s="9"/>
      <c r="C61" s="9"/>
      <c r="D61" s="9"/>
      <c r="E61" s="9"/>
      <c r="F61" s="9"/>
      <c r="G61" s="9"/>
      <c r="H61" s="9"/>
      <c r="I61" s="9"/>
      <c r="J61" s="9"/>
    </row>
    <row r="63" spans="1:10" ht="15.75" x14ac:dyDescent="0.25">
      <c r="A63" s="3" t="s">
        <v>25</v>
      </c>
      <c r="B63" t="str">
        <f>IF(AND(AND(D2&gt;85,E2&gt;85,F2&gt;85,G2&gt;85),H2&gt;90),"Eligible","Not Eligible")</f>
        <v>Not Eligible</v>
      </c>
    </row>
  </sheetData>
  <mergeCells count="9">
    <mergeCell ref="A11:C11"/>
    <mergeCell ref="A13:J14"/>
    <mergeCell ref="A18:J23"/>
    <mergeCell ref="A57:J61"/>
    <mergeCell ref="A27:J32"/>
    <mergeCell ref="A36:J37"/>
    <mergeCell ref="A41:J42"/>
    <mergeCell ref="A46:J48"/>
    <mergeCell ref="A52:J5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99805-1245-48FF-BDC3-1085F81756C7}">
  <dimension ref="A1:J62"/>
  <sheetViews>
    <sheetView workbookViewId="0">
      <selection activeCell="B23" sqref="B23"/>
    </sheetView>
  </sheetViews>
  <sheetFormatPr defaultRowHeight="15" x14ac:dyDescent="0.25"/>
  <cols>
    <col min="1" max="1" width="11.42578125" bestFit="1" customWidth="1"/>
    <col min="2" max="2" width="15.28515625" bestFit="1" customWidth="1"/>
    <col min="3" max="3" width="11.28515625" bestFit="1" customWidth="1"/>
    <col min="4" max="4" width="7.28515625" bestFit="1" customWidth="1"/>
    <col min="5" max="5" width="16.140625" bestFit="1" customWidth="1"/>
    <col min="6" max="6" width="19.85546875" bestFit="1" customWidth="1"/>
    <col min="7" max="7" width="14.28515625" bestFit="1" customWidth="1"/>
    <col min="8" max="8" width="16.5703125" bestFit="1" customWidth="1"/>
  </cols>
  <sheetData>
    <row r="1" spans="1:10" ht="15.75" x14ac:dyDescent="0.25">
      <c r="A1" s="7" t="s">
        <v>61</v>
      </c>
      <c r="B1" s="7" t="s">
        <v>62</v>
      </c>
      <c r="C1" s="7" t="s">
        <v>76</v>
      </c>
      <c r="D1" s="7" t="s">
        <v>75</v>
      </c>
      <c r="E1" s="7" t="s">
        <v>77</v>
      </c>
      <c r="F1" s="7" t="s">
        <v>80</v>
      </c>
      <c r="G1" s="7" t="s">
        <v>85</v>
      </c>
      <c r="H1" s="7" t="s">
        <v>93</v>
      </c>
    </row>
    <row r="2" spans="1:10" x14ac:dyDescent="0.25">
      <c r="A2" s="5">
        <v>101</v>
      </c>
      <c r="B2" s="5" t="s">
        <v>63</v>
      </c>
      <c r="C2" s="5" t="s">
        <v>71</v>
      </c>
      <c r="D2" s="5">
        <v>800</v>
      </c>
      <c r="E2" s="5">
        <v>50</v>
      </c>
      <c r="F2" t="str">
        <f>IF(E2&lt;20,"Restock Immediately","Stock Sufficient")</f>
        <v>Stock Sufficient</v>
      </c>
      <c r="G2" t="str">
        <f>IF(OR(AND(E2&lt;30,D2&gt;2000),C2="Electronics"),"Fast Moving","Normal")</f>
        <v>Fast Moving</v>
      </c>
      <c r="H2" t="str">
        <f>IF(D2&gt;7000,"Premium Product",IF(AND(D2&gt;=2000,D2&lt;=7000),"Standard Product","Budget Product"))</f>
        <v>Budget Product</v>
      </c>
    </row>
    <row r="3" spans="1:10" x14ac:dyDescent="0.25">
      <c r="A3" s="5">
        <v>102</v>
      </c>
      <c r="B3" s="5" t="s">
        <v>64</v>
      </c>
      <c r="C3" s="5" t="s">
        <v>71</v>
      </c>
      <c r="D3" s="5">
        <v>500</v>
      </c>
      <c r="E3" s="5">
        <v>120</v>
      </c>
      <c r="F3" t="str">
        <f t="shared" ref="F3:F9" si="0">IF(E3&lt;20,"Restock Immediately","Stock Sufficient")</f>
        <v>Stock Sufficient</v>
      </c>
      <c r="G3" t="str">
        <f t="shared" ref="G3:G9" si="1">IF(OR(AND(E3&lt;30,D3&gt;2000),C3="Electronics"),"Fast Moving","Normal")</f>
        <v>Fast Moving</v>
      </c>
      <c r="H3" t="str">
        <f t="shared" ref="H3:H9" si="2">IF(D3&gt;7000,"Premium Product",IF(AND(D3&gt;=2000,D3&lt;=7000),"Standard Product","Budget Product"))</f>
        <v>Budget Product</v>
      </c>
    </row>
    <row r="4" spans="1:10" x14ac:dyDescent="0.25">
      <c r="A4" s="5">
        <v>103</v>
      </c>
      <c r="B4" s="5" t="s">
        <v>65</v>
      </c>
      <c r="C4" s="5" t="s">
        <v>71</v>
      </c>
      <c r="D4" s="5">
        <v>9500</v>
      </c>
      <c r="E4" s="5">
        <v>15</v>
      </c>
      <c r="F4" t="str">
        <f t="shared" si="0"/>
        <v>Restock Immediately</v>
      </c>
      <c r="G4" t="str">
        <f t="shared" si="1"/>
        <v>Fast Moving</v>
      </c>
      <c r="H4" t="str">
        <f t="shared" si="2"/>
        <v>Premium Product</v>
      </c>
    </row>
    <row r="5" spans="1:10" x14ac:dyDescent="0.25">
      <c r="A5" s="5">
        <v>104</v>
      </c>
      <c r="B5" s="5" t="s">
        <v>66</v>
      </c>
      <c r="C5" s="5" t="s">
        <v>72</v>
      </c>
      <c r="D5" s="5">
        <v>3500</v>
      </c>
      <c r="E5" s="5">
        <v>25</v>
      </c>
      <c r="F5" t="str">
        <f t="shared" si="0"/>
        <v>Stock Sufficient</v>
      </c>
      <c r="G5" t="str">
        <f t="shared" si="1"/>
        <v>Fast Moving</v>
      </c>
      <c r="H5" t="str">
        <f t="shared" si="2"/>
        <v>Standard Product</v>
      </c>
    </row>
    <row r="6" spans="1:10" x14ac:dyDescent="0.25">
      <c r="A6" s="5">
        <v>105</v>
      </c>
      <c r="B6" s="5" t="s">
        <v>67</v>
      </c>
      <c r="C6" s="5" t="s">
        <v>72</v>
      </c>
      <c r="D6" s="5">
        <v>7000</v>
      </c>
      <c r="E6" s="5">
        <v>10</v>
      </c>
      <c r="F6" t="str">
        <f t="shared" si="0"/>
        <v>Restock Immediately</v>
      </c>
      <c r="G6" t="str">
        <f t="shared" si="1"/>
        <v>Fast Moving</v>
      </c>
      <c r="H6" t="str">
        <f t="shared" si="2"/>
        <v>Standard Product</v>
      </c>
    </row>
    <row r="7" spans="1:10" x14ac:dyDescent="0.25">
      <c r="A7" s="5">
        <v>106</v>
      </c>
      <c r="B7" s="5" t="s">
        <v>68</v>
      </c>
      <c r="C7" s="5" t="s">
        <v>73</v>
      </c>
      <c r="D7" s="5">
        <v>650</v>
      </c>
      <c r="E7" s="5">
        <v>80</v>
      </c>
      <c r="F7" t="str">
        <f t="shared" si="0"/>
        <v>Stock Sufficient</v>
      </c>
      <c r="G7" t="str">
        <f t="shared" si="1"/>
        <v>Normal</v>
      </c>
      <c r="H7" t="str">
        <f t="shared" si="2"/>
        <v>Budget Product</v>
      </c>
    </row>
    <row r="8" spans="1:10" x14ac:dyDescent="0.25">
      <c r="A8" s="5">
        <v>107</v>
      </c>
      <c r="B8" s="5" t="s">
        <v>69</v>
      </c>
      <c r="C8" s="5" t="s">
        <v>71</v>
      </c>
      <c r="D8" s="5">
        <v>2500</v>
      </c>
      <c r="E8" s="5">
        <v>18</v>
      </c>
      <c r="F8" t="str">
        <f t="shared" si="0"/>
        <v>Restock Immediately</v>
      </c>
      <c r="G8" t="str">
        <f t="shared" si="1"/>
        <v>Fast Moving</v>
      </c>
      <c r="H8" t="str">
        <f t="shared" si="2"/>
        <v>Standard Product</v>
      </c>
    </row>
    <row r="9" spans="1:10" x14ac:dyDescent="0.25">
      <c r="A9" s="5">
        <v>108</v>
      </c>
      <c r="B9" s="5" t="s">
        <v>70</v>
      </c>
      <c r="C9" s="5" t="s">
        <v>74</v>
      </c>
      <c r="D9" s="5">
        <v>120</v>
      </c>
      <c r="E9" s="5">
        <v>200</v>
      </c>
      <c r="F9" t="str">
        <f t="shared" si="0"/>
        <v>Stock Sufficient</v>
      </c>
      <c r="G9" t="str">
        <f t="shared" si="1"/>
        <v>Normal</v>
      </c>
      <c r="H9" t="str">
        <f t="shared" si="2"/>
        <v>Budget Product</v>
      </c>
    </row>
    <row r="11" spans="1:10" ht="21" x14ac:dyDescent="0.35">
      <c r="A11" s="12" t="s">
        <v>20</v>
      </c>
      <c r="B11" s="16"/>
    </row>
    <row r="13" spans="1:10" x14ac:dyDescent="0.25">
      <c r="A13" s="13" t="s">
        <v>78</v>
      </c>
      <c r="B13" s="14"/>
      <c r="C13" s="14"/>
      <c r="D13" s="14"/>
      <c r="E13" s="14"/>
      <c r="F13" s="14"/>
      <c r="G13" s="14"/>
      <c r="H13" s="14"/>
      <c r="I13" s="14"/>
      <c r="J13" s="14"/>
    </row>
    <row r="14" spans="1:10" x14ac:dyDescent="0.25">
      <c r="A14" s="14"/>
      <c r="B14" s="14"/>
      <c r="C14" s="14"/>
      <c r="D14" s="14"/>
      <c r="E14" s="14"/>
      <c r="F14" s="14"/>
      <c r="G14" s="14"/>
      <c r="H14" s="14"/>
      <c r="I14" s="14"/>
      <c r="J14" s="14"/>
    </row>
    <row r="15" spans="1:10" x14ac:dyDescent="0.25">
      <c r="A15" s="14"/>
      <c r="B15" s="14"/>
      <c r="C15" s="14"/>
      <c r="D15" s="14"/>
      <c r="E15" s="14"/>
      <c r="F15" s="14"/>
      <c r="G15" s="14"/>
      <c r="H15" s="14"/>
      <c r="I15" s="14"/>
      <c r="J15" s="14"/>
    </row>
    <row r="17" spans="1:10" ht="15.75" x14ac:dyDescent="0.25">
      <c r="A17" s="3" t="s">
        <v>25</v>
      </c>
      <c r="B17" t="str">
        <f>VLOOKUP(105,A2:E9,2,FALSE)</f>
        <v>Desk</v>
      </c>
      <c r="C17" s="5">
        <f>VLOOKUP(102,A2:E10,4,FALSE)</f>
        <v>500</v>
      </c>
    </row>
    <row r="19" spans="1:10" x14ac:dyDescent="0.25">
      <c r="A19" s="9" t="s">
        <v>79</v>
      </c>
      <c r="B19" s="15"/>
      <c r="C19" s="15"/>
      <c r="D19" s="15"/>
      <c r="E19" s="15"/>
      <c r="F19" s="15"/>
      <c r="G19" s="15"/>
      <c r="H19" s="15"/>
      <c r="I19" s="15"/>
      <c r="J19" s="15"/>
    </row>
    <row r="20" spans="1:10" x14ac:dyDescent="0.25">
      <c r="A20" s="15"/>
      <c r="B20" s="15"/>
      <c r="C20" s="15"/>
      <c r="D20" s="15"/>
      <c r="E20" s="15"/>
      <c r="F20" s="15"/>
      <c r="G20" s="15"/>
      <c r="H20" s="15"/>
      <c r="I20" s="15"/>
      <c r="J20" s="15"/>
    </row>
    <row r="21" spans="1:10" x14ac:dyDescent="0.25">
      <c r="A21" s="15"/>
      <c r="B21" s="15"/>
      <c r="C21" s="15"/>
      <c r="D21" s="15"/>
      <c r="E21" s="15"/>
      <c r="F21" s="15"/>
      <c r="G21" s="15"/>
      <c r="H21" s="15"/>
      <c r="I21" s="15"/>
      <c r="J21" s="15"/>
    </row>
    <row r="23" spans="1:10" ht="15.75" x14ac:dyDescent="0.25">
      <c r="A23" s="3" t="s">
        <v>25</v>
      </c>
      <c r="B23" t="str">
        <f>IF(E2&lt;20,"Restock Immediately","Stock Sufficient")</f>
        <v>Stock Sufficient</v>
      </c>
    </row>
    <row r="25" spans="1:10" x14ac:dyDescent="0.25">
      <c r="A25" s="9" t="s">
        <v>81</v>
      </c>
      <c r="B25" s="15"/>
      <c r="C25" s="15"/>
      <c r="D25" s="15"/>
      <c r="E25" s="15"/>
      <c r="F25" s="15"/>
      <c r="G25" s="15"/>
      <c r="H25" s="15"/>
      <c r="I25" s="15"/>
      <c r="J25" s="15"/>
    </row>
    <row r="26" spans="1:10" x14ac:dyDescent="0.25">
      <c r="A26" s="15"/>
      <c r="B26" s="15"/>
      <c r="C26" s="15"/>
      <c r="D26" s="15"/>
      <c r="E26" s="15"/>
      <c r="F26" s="15"/>
      <c r="G26" s="15"/>
      <c r="H26" s="15"/>
      <c r="I26" s="15"/>
      <c r="J26" s="15"/>
    </row>
    <row r="28" spans="1:10" ht="15.75" x14ac:dyDescent="0.25">
      <c r="A28" s="3" t="s">
        <v>25</v>
      </c>
      <c r="B28" s="5">
        <f>SUMIF(C2:C9,"Electronics",E2:E9)</f>
        <v>203</v>
      </c>
    </row>
    <row r="30" spans="1:10" x14ac:dyDescent="0.25">
      <c r="A30" s="9" t="s">
        <v>82</v>
      </c>
      <c r="B30" s="15"/>
      <c r="C30" s="15"/>
      <c r="D30" s="15"/>
      <c r="E30" s="15"/>
      <c r="F30" s="15"/>
      <c r="G30" s="15"/>
      <c r="H30" s="15"/>
      <c r="I30" s="15"/>
      <c r="J30" s="15"/>
    </row>
    <row r="31" spans="1:10" x14ac:dyDescent="0.25">
      <c r="A31" s="15"/>
      <c r="B31" s="15"/>
      <c r="C31" s="15"/>
      <c r="D31" s="15"/>
      <c r="E31" s="15"/>
      <c r="F31" s="15"/>
      <c r="G31" s="15"/>
      <c r="H31" s="15"/>
      <c r="I31" s="15"/>
      <c r="J31" s="15"/>
    </row>
    <row r="33" spans="1:10" ht="15.75" x14ac:dyDescent="0.25">
      <c r="A33" s="3" t="s">
        <v>25</v>
      </c>
      <c r="B33" s="5">
        <f>COUNTIF(E2:E9,"&gt;50")</f>
        <v>3</v>
      </c>
    </row>
    <row r="35" spans="1:10" ht="15.75" x14ac:dyDescent="0.25">
      <c r="A35" s="14" t="s">
        <v>83</v>
      </c>
      <c r="B35" s="14"/>
      <c r="C35" s="14"/>
      <c r="D35" s="14"/>
      <c r="E35" s="14"/>
      <c r="F35" s="14"/>
      <c r="G35" s="14"/>
      <c r="H35" s="14"/>
      <c r="I35" s="14"/>
      <c r="J35" s="14"/>
    </row>
    <row r="37" spans="1:10" ht="15.75" x14ac:dyDescent="0.25">
      <c r="A37" s="3" t="s">
        <v>25</v>
      </c>
      <c r="B37" s="5">
        <f>AVERAGEIF(D2:D9,"&gt;1000",D2:D9)</f>
        <v>5625</v>
      </c>
    </row>
    <row r="39" spans="1:10" ht="15" customHeight="1" x14ac:dyDescent="0.25">
      <c r="A39" s="9" t="s">
        <v>84</v>
      </c>
      <c r="B39" s="9"/>
      <c r="C39" s="9"/>
      <c r="D39" s="9"/>
      <c r="E39" s="9"/>
      <c r="F39" s="9"/>
      <c r="G39" s="9"/>
      <c r="H39" s="9"/>
      <c r="I39" s="9"/>
      <c r="J39" s="9"/>
    </row>
    <row r="40" spans="1:10" x14ac:dyDescent="0.25">
      <c r="A40" s="9"/>
      <c r="B40" s="9"/>
      <c r="C40" s="9"/>
      <c r="D40" s="9"/>
      <c r="E40" s="9"/>
      <c r="F40" s="9"/>
      <c r="G40" s="9"/>
      <c r="H40" s="9"/>
      <c r="I40" s="9"/>
      <c r="J40" s="9"/>
    </row>
    <row r="41" spans="1:10" x14ac:dyDescent="0.25">
      <c r="A41" s="9"/>
      <c r="B41" s="9"/>
      <c r="C41" s="9"/>
      <c r="D41" s="9"/>
      <c r="E41" s="9"/>
      <c r="F41" s="9"/>
      <c r="G41" s="9"/>
      <c r="H41" s="9"/>
      <c r="I41" s="9"/>
      <c r="J41" s="9"/>
    </row>
    <row r="42" spans="1:10" x14ac:dyDescent="0.25">
      <c r="A42" s="9"/>
      <c r="B42" s="9"/>
      <c r="C42" s="9"/>
      <c r="D42" s="9"/>
      <c r="E42" s="9"/>
      <c r="F42" s="9"/>
      <c r="G42" s="9"/>
      <c r="H42" s="9"/>
      <c r="I42" s="9"/>
      <c r="J42" s="9"/>
    </row>
    <row r="43" spans="1:10" x14ac:dyDescent="0.25">
      <c r="A43" s="9"/>
      <c r="B43" s="9"/>
      <c r="C43" s="9"/>
      <c r="D43" s="9"/>
      <c r="E43" s="9"/>
      <c r="F43" s="9"/>
      <c r="G43" s="9"/>
      <c r="H43" s="9"/>
      <c r="I43" s="9"/>
      <c r="J43" s="9"/>
    </row>
    <row r="44" spans="1:10" x14ac:dyDescent="0.25">
      <c r="A44" s="9"/>
      <c r="B44" s="9"/>
      <c r="C44" s="9"/>
      <c r="D44" s="9"/>
      <c r="E44" s="9"/>
      <c r="F44" s="9"/>
      <c r="G44" s="9"/>
      <c r="H44" s="9"/>
      <c r="I44" s="9"/>
      <c r="J44" s="9"/>
    </row>
    <row r="46" spans="1:10" ht="15.75" x14ac:dyDescent="0.25">
      <c r="A46" s="3" t="s">
        <v>25</v>
      </c>
      <c r="B46" t="str">
        <f>IF(OR(AND(E2&lt;30,D2&gt;2000),C2="Electronics"),"Fast Moving","Normal")</f>
        <v>Fast Moving</v>
      </c>
    </row>
    <row r="48" spans="1:10" ht="15" customHeight="1" x14ac:dyDescent="0.25">
      <c r="A48" s="13" t="s">
        <v>86</v>
      </c>
      <c r="B48" s="13"/>
      <c r="C48" s="13"/>
      <c r="D48" s="13"/>
      <c r="E48" s="13"/>
      <c r="F48" s="13"/>
      <c r="G48" s="13"/>
      <c r="H48" s="13"/>
      <c r="I48" s="13"/>
      <c r="J48" s="13"/>
    </row>
    <row r="49" spans="1:10" x14ac:dyDescent="0.25">
      <c r="A49" s="13"/>
      <c r="B49" s="13"/>
      <c r="C49" s="13"/>
      <c r="D49" s="13"/>
      <c r="E49" s="13"/>
      <c r="F49" s="13"/>
      <c r="G49" s="13"/>
      <c r="H49" s="13"/>
      <c r="I49" s="13"/>
      <c r="J49" s="13"/>
    </row>
    <row r="50" spans="1:10" ht="15.75" x14ac:dyDescent="0.25">
      <c r="A50" s="3" t="s">
        <v>76</v>
      </c>
      <c r="B50" s="3" t="s">
        <v>87</v>
      </c>
      <c r="C50" s="3" t="s">
        <v>88</v>
      </c>
      <c r="D50" s="3" t="s">
        <v>89</v>
      </c>
      <c r="E50" s="3" t="s">
        <v>90</v>
      </c>
    </row>
    <row r="51" spans="1:10" x14ac:dyDescent="0.25">
      <c r="A51" t="s">
        <v>71</v>
      </c>
      <c r="B51">
        <v>45000</v>
      </c>
      <c r="C51">
        <v>52000</v>
      </c>
      <c r="D51">
        <v>61000</v>
      </c>
      <c r="E51">
        <v>58000</v>
      </c>
    </row>
    <row r="52" spans="1:10" x14ac:dyDescent="0.25">
      <c r="A52" s="15" t="s">
        <v>91</v>
      </c>
      <c r="B52" s="15"/>
      <c r="C52" s="15"/>
      <c r="D52" s="15"/>
      <c r="E52" s="15"/>
      <c r="F52" s="15"/>
      <c r="G52" s="15"/>
      <c r="H52" s="15"/>
      <c r="I52" s="15"/>
      <c r="J52" s="15"/>
    </row>
    <row r="54" spans="1:10" ht="15.75" x14ac:dyDescent="0.25">
      <c r="A54" s="3" t="s">
        <v>25</v>
      </c>
      <c r="B54" s="5">
        <f>HLOOKUP("March",A50:E51,2,FALSE)</f>
        <v>61000</v>
      </c>
    </row>
    <row r="56" spans="1:10" ht="15" customHeight="1" x14ac:dyDescent="0.25">
      <c r="A56" s="9" t="s">
        <v>92</v>
      </c>
      <c r="B56" s="9"/>
      <c r="C56" s="9"/>
      <c r="D56" s="9"/>
      <c r="E56" s="9"/>
      <c r="F56" s="9"/>
      <c r="G56" s="9"/>
      <c r="H56" s="9"/>
      <c r="I56" s="9"/>
      <c r="J56" s="9"/>
    </row>
    <row r="57" spans="1:10" x14ac:dyDescent="0.25">
      <c r="A57" s="9"/>
      <c r="B57" s="9"/>
      <c r="C57" s="9"/>
      <c r="D57" s="9"/>
      <c r="E57" s="9"/>
      <c r="F57" s="9"/>
      <c r="G57" s="9"/>
      <c r="H57" s="9"/>
      <c r="I57" s="9"/>
      <c r="J57" s="9"/>
    </row>
    <row r="58" spans="1:10" x14ac:dyDescent="0.25">
      <c r="A58" s="9"/>
      <c r="B58" s="9"/>
      <c r="C58" s="9"/>
      <c r="D58" s="9"/>
      <c r="E58" s="9"/>
      <c r="F58" s="9"/>
      <c r="G58" s="9"/>
      <c r="H58" s="9"/>
      <c r="I58" s="9"/>
      <c r="J58" s="9"/>
    </row>
    <row r="59" spans="1:10" x14ac:dyDescent="0.25">
      <c r="A59" s="9"/>
      <c r="B59" s="9"/>
      <c r="C59" s="9"/>
      <c r="D59" s="9"/>
      <c r="E59" s="9"/>
      <c r="F59" s="9"/>
      <c r="G59" s="9"/>
      <c r="H59" s="9"/>
      <c r="I59" s="9"/>
      <c r="J59" s="9"/>
    </row>
    <row r="60" spans="1:10" x14ac:dyDescent="0.25">
      <c r="A60" s="9"/>
      <c r="B60" s="9"/>
      <c r="C60" s="9"/>
      <c r="D60" s="9"/>
      <c r="E60" s="9"/>
      <c r="F60" s="9"/>
      <c r="G60" s="9"/>
      <c r="H60" s="9"/>
      <c r="I60" s="9"/>
      <c r="J60" s="9"/>
    </row>
    <row r="62" spans="1:10" ht="15.75" x14ac:dyDescent="0.25">
      <c r="A62" s="3" t="s">
        <v>25</v>
      </c>
      <c r="B62" t="str">
        <f>IF(D2&gt;7000,"Premium Product",IF(AND(D2&gt;=2000,D2&lt;=7000),"Standard Product","Budget Product"))</f>
        <v>Budget Product</v>
      </c>
    </row>
  </sheetData>
  <mergeCells count="10">
    <mergeCell ref="A56:J60"/>
    <mergeCell ref="A39:J44"/>
    <mergeCell ref="A48:J49"/>
    <mergeCell ref="A52:J52"/>
    <mergeCell ref="A11:B11"/>
    <mergeCell ref="A13:J15"/>
    <mergeCell ref="A19:J21"/>
    <mergeCell ref="A25:J26"/>
    <mergeCell ref="A30:J31"/>
    <mergeCell ref="A35:J3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E6A5E-182C-445B-A70F-0D5688986447}">
  <dimension ref="A1:P80"/>
  <sheetViews>
    <sheetView workbookViewId="0">
      <selection activeCell="B20" sqref="B20"/>
    </sheetView>
  </sheetViews>
  <sheetFormatPr defaultRowHeight="15" x14ac:dyDescent="0.25"/>
  <cols>
    <col min="1" max="1" width="8.42578125" bestFit="1" customWidth="1"/>
    <col min="2" max="2" width="19" bestFit="1" customWidth="1"/>
    <col min="3" max="3" width="12.85546875" bestFit="1" customWidth="1"/>
    <col min="4" max="5" width="7" bestFit="1" customWidth="1"/>
    <col min="6" max="6" width="14.28515625" bestFit="1" customWidth="1"/>
    <col min="8" max="8" width="11.5703125" bestFit="1" customWidth="1"/>
    <col min="9" max="9" width="28.7109375" bestFit="1" customWidth="1"/>
    <col min="10" max="10" width="24" bestFit="1" customWidth="1"/>
    <col min="11" max="11" width="35.5703125" bestFit="1" customWidth="1"/>
    <col min="12" max="12" width="20.28515625" bestFit="1" customWidth="1"/>
    <col min="13" max="13" width="19.140625" bestFit="1" customWidth="1"/>
    <col min="14" max="14" width="29" bestFit="1" customWidth="1"/>
    <col min="15" max="15" width="25.140625" bestFit="1" customWidth="1"/>
    <col min="16" max="16" width="21" bestFit="1" customWidth="1"/>
  </cols>
  <sheetData>
    <row r="1" spans="1:16" ht="15.75" x14ac:dyDescent="0.25">
      <c r="A1" s="7" t="s">
        <v>0</v>
      </c>
      <c r="B1" s="7" t="s">
        <v>102</v>
      </c>
      <c r="C1" s="7" t="s">
        <v>104</v>
      </c>
      <c r="D1" s="7" t="s">
        <v>11</v>
      </c>
      <c r="E1" s="7" t="s">
        <v>14</v>
      </c>
      <c r="F1" s="7" t="s">
        <v>47</v>
      </c>
      <c r="G1" s="7" t="s">
        <v>105</v>
      </c>
      <c r="H1" s="7" t="s">
        <v>106</v>
      </c>
      <c r="I1" s="7" t="s">
        <v>108</v>
      </c>
      <c r="J1" s="7" t="s">
        <v>110</v>
      </c>
      <c r="K1" s="7" t="s">
        <v>112</v>
      </c>
      <c r="L1" s="7" t="s">
        <v>114</v>
      </c>
      <c r="M1" s="7" t="s">
        <v>116</v>
      </c>
      <c r="N1" s="7" t="s">
        <v>118</v>
      </c>
      <c r="O1" s="7" t="s">
        <v>120</v>
      </c>
      <c r="P1" s="7" t="s">
        <v>122</v>
      </c>
    </row>
    <row r="2" spans="1:16" x14ac:dyDescent="0.25">
      <c r="A2" s="8" t="s">
        <v>94</v>
      </c>
      <c r="B2" s="8" t="s">
        <v>2</v>
      </c>
      <c r="C2" s="8" t="s">
        <v>14</v>
      </c>
      <c r="D2" s="8">
        <v>65000</v>
      </c>
      <c r="E2" s="8">
        <v>120000</v>
      </c>
      <c r="F2" s="8">
        <v>76</v>
      </c>
      <c r="G2" s="8" t="s">
        <v>17</v>
      </c>
      <c r="H2" s="8">
        <v>6</v>
      </c>
      <c r="I2" s="8" t="str">
        <f>IF(OR(AND(E2&gt;100000,F2&gt;95),AND(C2="IT",H2&gt;7)),"Eligible","Not Eligible")</f>
        <v>Not Eligible</v>
      </c>
      <c r="J2" s="8" t="str">
        <f>IF(OR(AND(D2&gt;70000,G2="Excellent",F2&gt;90),E2&gt;130000),"Promotion Approved","Promotion Rejected")</f>
        <v>Promotion Rejected</v>
      </c>
      <c r="K2" s="8" t="str">
        <f>IF(OR(AND(H2&gt;5,D2&lt;75000),AND(E2&gt;110000,G2="Excellent")),"Eligible","Not Eligible")</f>
        <v>Eligible</v>
      </c>
      <c r="L2" s="8" t="str">
        <f>IF(OR(AND(F2&lt;90,E2&lt;70000),G2="Average",H2&lt;3),"Yes","No")</f>
        <v>No</v>
      </c>
      <c r="M2" s="8" t="str">
        <f>IF(OR(AND(C2="IT",F2&gt;95,E2&gt;90000),AND(C2="Sales",E2&gt;120000,G2="Excellent")),"Selected","Rejected")</f>
        <v>Rejected</v>
      </c>
      <c r="N2" s="8" t="str">
        <f>IF(OR(AND(H2&gt;8,F2&gt;95),AND(E2&gt;100000,D2&lt;80000),AND(G2="Excellent",C2="IT")),"Eligible","Not Eligible")</f>
        <v>Eligible</v>
      </c>
      <c r="O2" s="8" t="str">
        <f>IF(OR(AND(F2&lt;90,E2&lt;80000),G2="Average",AND(D2&lt;50000,H2&lt;4)),"Required","Not Required")</f>
        <v>Not Required</v>
      </c>
      <c r="P2" s="8" t="str">
        <f>IF(OR(AND(E2&gt;100000,F2&gt;95,G2="Excellent"),AND(H2&gt;8,D2&gt;80000)),"Eligible","Not Eligible")</f>
        <v>Not Eligible</v>
      </c>
    </row>
    <row r="3" spans="1:16" x14ac:dyDescent="0.25">
      <c r="A3" s="8" t="s">
        <v>95</v>
      </c>
      <c r="B3" s="8" t="s">
        <v>7</v>
      </c>
      <c r="C3" s="8" t="s">
        <v>15</v>
      </c>
      <c r="D3" s="8">
        <v>48000</v>
      </c>
      <c r="E3" s="8">
        <v>45000</v>
      </c>
      <c r="F3" s="8">
        <v>89</v>
      </c>
      <c r="G3" s="8" t="s">
        <v>18</v>
      </c>
      <c r="H3" s="8">
        <v>3</v>
      </c>
      <c r="I3" s="8" t="str">
        <f t="shared" ref="I3:I9" si="0">IF(OR(AND(E3&gt;100000,F3&gt;95),AND(C3="IT",H3&gt;7)),"Eligible","Not Eligible")</f>
        <v>Not Eligible</v>
      </c>
      <c r="J3" s="8" t="str">
        <f t="shared" ref="J3:J9" si="1">IF(OR(AND(D3&gt;70000,G3="Excellent",F3&gt;90),E3&gt;130000),"Promotion Approved","Promotion Rejected")</f>
        <v>Promotion Rejected</v>
      </c>
      <c r="K3" s="8" t="str">
        <f t="shared" ref="K3:K9" si="2">IF(OR(AND(H3&gt;5,D3&lt;75000),AND(E3&gt;110000,G3="Excellent")),"Eligible","Not Eligible")</f>
        <v>Not Eligible</v>
      </c>
      <c r="L3" s="8" t="str">
        <f t="shared" ref="L3:L9" si="3">IF(OR(AND(F3&lt;90,E3&lt;70000),G3="Average",H3&lt;3),"Yes","No")</f>
        <v>Yes</v>
      </c>
      <c r="M3" s="8" t="str">
        <f t="shared" ref="M3:M9" si="4">IF(OR(AND(C3="IT",F3&gt;95,E3&gt;90000),AND(C3="Sales",E3&gt;120000,G3="Excellent")),"Selected","Rejected")</f>
        <v>Rejected</v>
      </c>
      <c r="N3" s="8" t="str">
        <f t="shared" ref="N3:N9" si="5">IF(OR(AND(H3&gt;8,F3&gt;95),AND(E3&gt;100000,D3&lt;80000),AND(G3="Excellent",C3="IT")),"Eligible","Not Eligible")</f>
        <v>Not Eligible</v>
      </c>
      <c r="O3" s="8" t="str">
        <f t="shared" ref="O3:O9" si="6">IF(OR(AND(F3&lt;90,E3&lt;80000),G3="Average",AND(D3&lt;50000,H3&lt;4)),"Required","Not Required")</f>
        <v>Required</v>
      </c>
      <c r="P3" s="8" t="str">
        <f t="shared" ref="P3:P9" si="7">IF(OR(AND(E3&gt;100000,F3&gt;95,G3="Excellent"),AND(H3&gt;8,D3&gt;80000)),"Eligible","Not Eligible")</f>
        <v>Not Eligible</v>
      </c>
    </row>
    <row r="4" spans="1:16" x14ac:dyDescent="0.25">
      <c r="A4" s="8" t="s">
        <v>96</v>
      </c>
      <c r="B4" s="8" t="s">
        <v>103</v>
      </c>
      <c r="C4" s="8" t="s">
        <v>16</v>
      </c>
      <c r="D4" s="8">
        <v>72000</v>
      </c>
      <c r="E4" s="8">
        <v>98000</v>
      </c>
      <c r="F4" s="8">
        <v>94</v>
      </c>
      <c r="G4" s="8" t="s">
        <v>17</v>
      </c>
      <c r="H4" s="8">
        <v>7</v>
      </c>
      <c r="I4" s="8" t="str">
        <f t="shared" si="0"/>
        <v>Not Eligible</v>
      </c>
      <c r="J4" s="8" t="str">
        <f t="shared" si="1"/>
        <v>Promotion Approved</v>
      </c>
      <c r="K4" s="8" t="str">
        <f t="shared" si="2"/>
        <v>Eligible</v>
      </c>
      <c r="L4" s="8" t="str">
        <f t="shared" si="3"/>
        <v>No</v>
      </c>
      <c r="M4" s="8" t="str">
        <f t="shared" si="4"/>
        <v>Rejected</v>
      </c>
      <c r="N4" s="8" t="str">
        <f t="shared" si="5"/>
        <v>Eligible</v>
      </c>
      <c r="O4" s="8" t="str">
        <f t="shared" si="6"/>
        <v>Not Required</v>
      </c>
      <c r="P4" s="8" t="str">
        <f t="shared" si="7"/>
        <v>Not Eligible</v>
      </c>
    </row>
    <row r="5" spans="1:16" x14ac:dyDescent="0.25">
      <c r="A5" s="8" t="s">
        <v>97</v>
      </c>
      <c r="B5" s="8" t="s">
        <v>5</v>
      </c>
      <c r="C5" s="8" t="s">
        <v>14</v>
      </c>
      <c r="D5" s="8">
        <v>55000</v>
      </c>
      <c r="E5" s="8">
        <v>76000</v>
      </c>
      <c r="F5" s="8">
        <v>91</v>
      </c>
      <c r="G5" s="8" t="s">
        <v>19</v>
      </c>
      <c r="H5" s="8">
        <v>4</v>
      </c>
      <c r="I5" s="8" t="str">
        <f t="shared" si="0"/>
        <v>Not Eligible</v>
      </c>
      <c r="J5" s="8" t="str">
        <f t="shared" si="1"/>
        <v>Promotion Rejected</v>
      </c>
      <c r="K5" s="8" t="str">
        <f t="shared" si="2"/>
        <v>Not Eligible</v>
      </c>
      <c r="L5" s="8" t="str">
        <f t="shared" si="3"/>
        <v>Yes</v>
      </c>
      <c r="M5" s="8" t="str">
        <f t="shared" si="4"/>
        <v>Rejected</v>
      </c>
      <c r="N5" s="8" t="str">
        <f t="shared" si="5"/>
        <v>Not Eligible</v>
      </c>
      <c r="O5" s="8" t="str">
        <f t="shared" si="6"/>
        <v>Required</v>
      </c>
      <c r="P5" s="8" t="str">
        <f t="shared" si="7"/>
        <v>Not Eligible</v>
      </c>
    </row>
    <row r="6" spans="1:16" x14ac:dyDescent="0.25">
      <c r="A6" s="8" t="s">
        <v>98</v>
      </c>
      <c r="B6" s="8" t="s">
        <v>6</v>
      </c>
      <c r="C6" s="8" t="s">
        <v>16</v>
      </c>
      <c r="D6" s="8">
        <v>81000</v>
      </c>
      <c r="E6" s="8">
        <v>135000</v>
      </c>
      <c r="F6" s="8">
        <v>98</v>
      </c>
      <c r="G6" s="8" t="s">
        <v>17</v>
      </c>
      <c r="H6" s="8">
        <v>9</v>
      </c>
      <c r="I6" s="8" t="str">
        <f t="shared" si="0"/>
        <v>Eligible</v>
      </c>
      <c r="J6" s="8" t="str">
        <f t="shared" si="1"/>
        <v>Promotion Approved</v>
      </c>
      <c r="K6" s="8" t="str">
        <f t="shared" si="2"/>
        <v>Eligible</v>
      </c>
      <c r="L6" s="8" t="str">
        <f t="shared" si="3"/>
        <v>No</v>
      </c>
      <c r="M6" s="8" t="str">
        <f t="shared" si="4"/>
        <v>Selected</v>
      </c>
      <c r="N6" s="8" t="str">
        <f t="shared" si="5"/>
        <v>Eligible</v>
      </c>
      <c r="O6" s="8" t="str">
        <f t="shared" si="6"/>
        <v>Not Required</v>
      </c>
      <c r="P6" s="8" t="str">
        <f t="shared" si="7"/>
        <v>Eligible</v>
      </c>
    </row>
    <row r="7" spans="1:16" x14ac:dyDescent="0.25">
      <c r="A7" s="8" t="s">
        <v>99</v>
      </c>
      <c r="B7" s="8" t="s">
        <v>3</v>
      </c>
      <c r="C7" s="8" t="s">
        <v>15</v>
      </c>
      <c r="D7" s="8">
        <v>43000</v>
      </c>
      <c r="E7" s="8">
        <v>39000</v>
      </c>
      <c r="F7" s="8">
        <v>93</v>
      </c>
      <c r="G7" s="8" t="s">
        <v>18</v>
      </c>
      <c r="H7" s="8">
        <v>5</v>
      </c>
      <c r="I7" s="8" t="str">
        <f t="shared" si="0"/>
        <v>Not Eligible</v>
      </c>
      <c r="J7" s="8" t="str">
        <f t="shared" si="1"/>
        <v>Promotion Rejected</v>
      </c>
      <c r="K7" s="8" t="str">
        <f t="shared" si="2"/>
        <v>Not Eligible</v>
      </c>
      <c r="L7" s="8" t="str">
        <f t="shared" si="3"/>
        <v>No</v>
      </c>
      <c r="M7" s="8" t="str">
        <f t="shared" si="4"/>
        <v>Rejected</v>
      </c>
      <c r="N7" s="8" t="str">
        <f t="shared" si="5"/>
        <v>Not Eligible</v>
      </c>
      <c r="O7" s="8" t="str">
        <f t="shared" si="6"/>
        <v>Not Required</v>
      </c>
      <c r="P7" s="8" t="str">
        <f t="shared" si="7"/>
        <v>Not Eligible</v>
      </c>
    </row>
    <row r="8" spans="1:16" x14ac:dyDescent="0.25">
      <c r="A8" s="8" t="s">
        <v>100</v>
      </c>
      <c r="B8" s="8" t="s">
        <v>8</v>
      </c>
      <c r="C8" s="8" t="s">
        <v>14</v>
      </c>
      <c r="D8" s="8">
        <v>59000</v>
      </c>
      <c r="E8" s="8">
        <v>68000</v>
      </c>
      <c r="F8" s="8">
        <v>87</v>
      </c>
      <c r="G8" s="8" t="s">
        <v>18</v>
      </c>
      <c r="H8" s="8">
        <v>2</v>
      </c>
      <c r="I8" s="8" t="str">
        <f t="shared" si="0"/>
        <v>Not Eligible</v>
      </c>
      <c r="J8" s="8" t="str">
        <f t="shared" si="1"/>
        <v>Promotion Rejected</v>
      </c>
      <c r="K8" s="8" t="str">
        <f t="shared" si="2"/>
        <v>Not Eligible</v>
      </c>
      <c r="L8" s="8" t="str">
        <f t="shared" si="3"/>
        <v>Yes</v>
      </c>
      <c r="M8" s="8" t="str">
        <f t="shared" si="4"/>
        <v>Rejected</v>
      </c>
      <c r="N8" s="8" t="str">
        <f t="shared" si="5"/>
        <v>Not Eligible</v>
      </c>
      <c r="O8" s="8" t="str">
        <f t="shared" si="6"/>
        <v>Required</v>
      </c>
      <c r="P8" s="8" t="str">
        <f t="shared" si="7"/>
        <v>Not Eligible</v>
      </c>
    </row>
    <row r="9" spans="1:16" x14ac:dyDescent="0.25">
      <c r="A9" s="8" t="s">
        <v>101</v>
      </c>
      <c r="B9" s="8" t="s">
        <v>9</v>
      </c>
      <c r="C9" s="8" t="s">
        <v>16</v>
      </c>
      <c r="D9" s="8">
        <v>70000</v>
      </c>
      <c r="E9" s="8">
        <v>112000</v>
      </c>
      <c r="F9" s="8">
        <v>97</v>
      </c>
      <c r="G9" s="8" t="s">
        <v>17</v>
      </c>
      <c r="H9" s="8">
        <v>8</v>
      </c>
      <c r="I9" s="8" t="str">
        <f t="shared" si="0"/>
        <v>Eligible</v>
      </c>
      <c r="J9" s="8" t="str">
        <f t="shared" si="1"/>
        <v>Promotion Rejected</v>
      </c>
      <c r="K9" s="8" t="str">
        <f t="shared" si="2"/>
        <v>Eligible</v>
      </c>
      <c r="L9" s="8" t="str">
        <f t="shared" si="3"/>
        <v>No</v>
      </c>
      <c r="M9" s="8" t="str">
        <f t="shared" si="4"/>
        <v>Selected</v>
      </c>
      <c r="N9" s="8" t="str">
        <f t="shared" si="5"/>
        <v>Eligible</v>
      </c>
      <c r="O9" s="8" t="str">
        <f t="shared" si="6"/>
        <v>Not Required</v>
      </c>
      <c r="P9" s="8" t="str">
        <f t="shared" si="7"/>
        <v>Eligible</v>
      </c>
    </row>
    <row r="11" spans="1:16" ht="21" x14ac:dyDescent="0.35">
      <c r="A11" s="12" t="s">
        <v>20</v>
      </c>
      <c r="B11" s="16"/>
    </row>
    <row r="13" spans="1:16" ht="15" customHeight="1" x14ac:dyDescent="0.25">
      <c r="A13" s="9" t="s">
        <v>107</v>
      </c>
      <c r="B13" s="9"/>
      <c r="C13" s="9"/>
      <c r="D13" s="9"/>
      <c r="E13" s="9"/>
      <c r="F13" s="9"/>
      <c r="G13" s="9"/>
      <c r="H13" s="9"/>
      <c r="I13" s="9"/>
      <c r="J13" s="9"/>
    </row>
    <row r="14" spans="1:16" x14ac:dyDescent="0.25">
      <c r="A14" s="9"/>
      <c r="B14" s="9"/>
      <c r="C14" s="9"/>
      <c r="D14" s="9"/>
      <c r="E14" s="9"/>
      <c r="F14" s="9"/>
      <c r="G14" s="9"/>
      <c r="H14" s="9"/>
      <c r="I14" s="9"/>
      <c r="J14" s="9"/>
    </row>
    <row r="15" spans="1:16" x14ac:dyDescent="0.25">
      <c r="A15" s="9"/>
      <c r="B15" s="9"/>
      <c r="C15" s="9"/>
      <c r="D15" s="9"/>
      <c r="E15" s="9"/>
      <c r="F15" s="9"/>
      <c r="G15" s="9"/>
      <c r="H15" s="9"/>
      <c r="I15" s="9"/>
      <c r="J15" s="9"/>
    </row>
    <row r="16" spans="1:16" x14ac:dyDescent="0.25">
      <c r="A16" s="9"/>
      <c r="B16" s="9"/>
      <c r="C16" s="9"/>
      <c r="D16" s="9"/>
      <c r="E16" s="9"/>
      <c r="F16" s="9"/>
      <c r="G16" s="9"/>
      <c r="H16" s="9"/>
      <c r="I16" s="9"/>
      <c r="J16" s="9"/>
    </row>
    <row r="17" spans="1:10" x14ac:dyDescent="0.25">
      <c r="A17" s="9"/>
      <c r="B17" s="9"/>
      <c r="C17" s="9"/>
      <c r="D17" s="9"/>
      <c r="E17" s="9"/>
      <c r="F17" s="9"/>
      <c r="G17" s="9"/>
      <c r="H17" s="9"/>
      <c r="I17" s="9"/>
      <c r="J17" s="9"/>
    </row>
    <row r="18" spans="1:10" x14ac:dyDescent="0.25">
      <c r="A18" s="9"/>
      <c r="B18" s="9"/>
      <c r="C18" s="9"/>
      <c r="D18" s="9"/>
      <c r="E18" s="9"/>
      <c r="F18" s="9"/>
      <c r="G18" s="9"/>
      <c r="H18" s="9"/>
      <c r="I18" s="9"/>
      <c r="J18" s="9"/>
    </row>
    <row r="20" spans="1:10" ht="15.75" x14ac:dyDescent="0.25">
      <c r="A20" s="3" t="s">
        <v>25</v>
      </c>
      <c r="B20" t="str">
        <f>IF(OR(AND(E2&gt;100000,F2&gt;95),AND(C2="IT",H2&gt;7)),"Eligible","Not Eligible")</f>
        <v>Not Eligible</v>
      </c>
    </row>
    <row r="22" spans="1:10" ht="15" customHeight="1" x14ac:dyDescent="0.25">
      <c r="A22" s="9" t="s">
        <v>109</v>
      </c>
      <c r="B22" s="9"/>
      <c r="C22" s="9"/>
      <c r="D22" s="9"/>
      <c r="E22" s="9"/>
      <c r="F22" s="9"/>
      <c r="G22" s="9"/>
      <c r="H22" s="9"/>
      <c r="I22" s="9"/>
      <c r="J22" s="9"/>
    </row>
    <row r="23" spans="1:10" x14ac:dyDescent="0.25">
      <c r="A23" s="9"/>
      <c r="B23" s="9"/>
      <c r="C23" s="9"/>
      <c r="D23" s="9"/>
      <c r="E23" s="9"/>
      <c r="F23" s="9"/>
      <c r="G23" s="9"/>
      <c r="H23" s="9"/>
      <c r="I23" s="9"/>
      <c r="J23" s="9"/>
    </row>
    <row r="24" spans="1:10" x14ac:dyDescent="0.25">
      <c r="A24" s="9"/>
      <c r="B24" s="9"/>
      <c r="C24" s="9"/>
      <c r="D24" s="9"/>
      <c r="E24" s="9"/>
      <c r="F24" s="9"/>
      <c r="G24" s="9"/>
      <c r="H24" s="9"/>
      <c r="I24" s="9"/>
      <c r="J24" s="9"/>
    </row>
    <row r="25" spans="1:10" x14ac:dyDescent="0.25">
      <c r="A25" s="9"/>
      <c r="B25" s="9"/>
      <c r="C25" s="9"/>
      <c r="D25" s="9"/>
      <c r="E25" s="9"/>
      <c r="F25" s="9"/>
      <c r="G25" s="9"/>
      <c r="H25" s="9"/>
      <c r="I25" s="9"/>
      <c r="J25" s="9"/>
    </row>
    <row r="26" spans="1:10" x14ac:dyDescent="0.25">
      <c r="A26" s="9"/>
      <c r="B26" s="9"/>
      <c r="C26" s="9"/>
      <c r="D26" s="9"/>
      <c r="E26" s="9"/>
      <c r="F26" s="9"/>
      <c r="G26" s="9"/>
      <c r="H26" s="9"/>
      <c r="I26" s="9"/>
      <c r="J26" s="9"/>
    </row>
    <row r="27" spans="1:10" x14ac:dyDescent="0.25">
      <c r="A27" s="9"/>
      <c r="B27" s="9"/>
      <c r="C27" s="9"/>
      <c r="D27" s="9"/>
      <c r="E27" s="9"/>
      <c r="F27" s="9"/>
      <c r="G27" s="9"/>
      <c r="H27" s="9"/>
      <c r="I27" s="9"/>
      <c r="J27" s="9"/>
    </row>
    <row r="28" spans="1:10" x14ac:dyDescent="0.25">
      <c r="A28" s="9"/>
      <c r="B28" s="9"/>
      <c r="C28" s="9"/>
      <c r="D28" s="9"/>
      <c r="E28" s="9"/>
      <c r="F28" s="9"/>
      <c r="G28" s="9"/>
      <c r="H28" s="9"/>
      <c r="I28" s="9"/>
      <c r="J28" s="9"/>
    </row>
    <row r="30" spans="1:10" ht="15.75" x14ac:dyDescent="0.25">
      <c r="A30" s="3" t="s">
        <v>25</v>
      </c>
      <c r="B30" t="str">
        <f>IF(OR(AND(D2&gt;70000,G2="Excellent",F2&gt;90),E2&gt;130000),"Promotion Approved","Promotion Rejected")</f>
        <v>Promotion Rejected</v>
      </c>
    </row>
    <row r="32" spans="1:10" x14ac:dyDescent="0.25">
      <c r="A32" s="9" t="s">
        <v>111</v>
      </c>
      <c r="B32" s="15"/>
      <c r="C32" s="15"/>
      <c r="D32" s="15"/>
      <c r="E32" s="15"/>
      <c r="F32" s="15"/>
      <c r="G32" s="15"/>
      <c r="H32" s="15"/>
      <c r="I32" s="15"/>
      <c r="J32" s="15"/>
    </row>
    <row r="33" spans="1:10" x14ac:dyDescent="0.25">
      <c r="A33" s="15"/>
      <c r="B33" s="15"/>
      <c r="C33" s="15"/>
      <c r="D33" s="15"/>
      <c r="E33" s="15"/>
      <c r="F33" s="15"/>
      <c r="G33" s="15"/>
      <c r="H33" s="15"/>
      <c r="I33" s="15"/>
      <c r="J33" s="15"/>
    </row>
    <row r="34" spans="1:10" x14ac:dyDescent="0.25">
      <c r="A34" s="15"/>
      <c r="B34" s="15"/>
      <c r="C34" s="15"/>
      <c r="D34" s="15"/>
      <c r="E34" s="15"/>
      <c r="F34" s="15"/>
      <c r="G34" s="15"/>
      <c r="H34" s="15"/>
      <c r="I34" s="15"/>
      <c r="J34" s="15"/>
    </row>
    <row r="35" spans="1:10" x14ac:dyDescent="0.25">
      <c r="A35" s="15"/>
      <c r="B35" s="15"/>
      <c r="C35" s="15"/>
      <c r="D35" s="15"/>
      <c r="E35" s="15"/>
      <c r="F35" s="15"/>
      <c r="G35" s="15"/>
      <c r="H35" s="15"/>
      <c r="I35" s="15"/>
      <c r="J35" s="15"/>
    </row>
    <row r="36" spans="1:10" x14ac:dyDescent="0.25">
      <c r="A36" s="15"/>
      <c r="B36" s="15"/>
      <c r="C36" s="15"/>
      <c r="D36" s="15"/>
      <c r="E36" s="15"/>
      <c r="F36" s="15"/>
      <c r="G36" s="15"/>
      <c r="H36" s="15"/>
      <c r="I36" s="15"/>
      <c r="J36" s="15"/>
    </row>
    <row r="38" spans="1:10" ht="15.75" x14ac:dyDescent="0.25">
      <c r="A38" s="3" t="s">
        <v>25</v>
      </c>
      <c r="B38" t="str">
        <f>IF(OR(AND(H2&gt;5,D2&lt;75000),AND(E2&gt;110000,G2="Excellent")),"Eligible","Not Eligible")</f>
        <v>Eligible</v>
      </c>
    </row>
    <row r="41" spans="1:10" x14ac:dyDescent="0.25">
      <c r="A41" s="9" t="s">
        <v>113</v>
      </c>
      <c r="B41" s="15"/>
      <c r="C41" s="15"/>
      <c r="D41" s="15"/>
      <c r="E41" s="15"/>
      <c r="F41" s="15"/>
      <c r="G41" s="15"/>
      <c r="H41" s="15"/>
      <c r="I41" s="15"/>
      <c r="J41" s="15"/>
    </row>
    <row r="42" spans="1:10" x14ac:dyDescent="0.25">
      <c r="A42" s="15"/>
      <c r="B42" s="15"/>
      <c r="C42" s="15"/>
      <c r="D42" s="15"/>
      <c r="E42" s="15"/>
      <c r="F42" s="15"/>
      <c r="G42" s="15"/>
      <c r="H42" s="15"/>
      <c r="I42" s="15"/>
      <c r="J42" s="15"/>
    </row>
    <row r="43" spans="1:10" x14ac:dyDescent="0.25">
      <c r="A43" s="15"/>
      <c r="B43" s="15"/>
      <c r="C43" s="15"/>
      <c r="D43" s="15"/>
      <c r="E43" s="15"/>
      <c r="F43" s="15"/>
      <c r="G43" s="15"/>
      <c r="H43" s="15"/>
      <c r="I43" s="15"/>
      <c r="J43" s="15"/>
    </row>
    <row r="44" spans="1:10" x14ac:dyDescent="0.25">
      <c r="A44" s="15"/>
      <c r="B44" s="15"/>
      <c r="C44" s="15"/>
      <c r="D44" s="15"/>
      <c r="E44" s="15"/>
      <c r="F44" s="15"/>
      <c r="G44" s="15"/>
      <c r="H44" s="15"/>
      <c r="I44" s="15"/>
      <c r="J44" s="15"/>
    </row>
    <row r="45" spans="1:10" x14ac:dyDescent="0.25">
      <c r="A45" s="15"/>
      <c r="B45" s="15"/>
      <c r="C45" s="15"/>
      <c r="D45" s="15"/>
      <c r="E45" s="15"/>
      <c r="F45" s="15"/>
      <c r="G45" s="15"/>
      <c r="H45" s="15"/>
      <c r="I45" s="15"/>
      <c r="J45" s="15"/>
    </row>
    <row r="47" spans="1:10" ht="15.75" x14ac:dyDescent="0.25">
      <c r="A47" s="3" t="s">
        <v>25</v>
      </c>
      <c r="B47" t="str">
        <f>IF(OR(AND(F2&lt;90,E2&lt;70000),G2="Average",H2&lt;3),"Yes","No")</f>
        <v>No</v>
      </c>
    </row>
    <row r="49" spans="1:10" x14ac:dyDescent="0.25">
      <c r="A49" s="9" t="s">
        <v>115</v>
      </c>
      <c r="B49" s="15"/>
      <c r="C49" s="15"/>
      <c r="D49" s="15"/>
      <c r="E49" s="15"/>
      <c r="F49" s="15"/>
      <c r="G49" s="15"/>
      <c r="H49" s="15"/>
      <c r="I49" s="15"/>
      <c r="J49" s="15"/>
    </row>
    <row r="50" spans="1:10" x14ac:dyDescent="0.25">
      <c r="A50" s="15"/>
      <c r="B50" s="15"/>
      <c r="C50" s="15"/>
      <c r="D50" s="15"/>
      <c r="E50" s="15"/>
      <c r="F50" s="15"/>
      <c r="G50" s="15"/>
      <c r="H50" s="15"/>
      <c r="I50" s="15"/>
      <c r="J50" s="15"/>
    </row>
    <row r="51" spans="1:10" x14ac:dyDescent="0.25">
      <c r="A51" s="15"/>
      <c r="B51" s="15"/>
      <c r="C51" s="15"/>
      <c r="D51" s="15"/>
      <c r="E51" s="15"/>
      <c r="F51" s="15"/>
      <c r="G51" s="15"/>
      <c r="H51" s="15"/>
      <c r="I51" s="15"/>
      <c r="J51" s="15"/>
    </row>
    <row r="52" spans="1:10" x14ac:dyDescent="0.25">
      <c r="A52" s="15"/>
      <c r="B52" s="15"/>
      <c r="C52" s="15"/>
      <c r="D52" s="15"/>
      <c r="E52" s="15"/>
      <c r="F52" s="15"/>
      <c r="G52" s="15"/>
      <c r="H52" s="15"/>
      <c r="I52" s="15"/>
      <c r="J52" s="15"/>
    </row>
    <row r="53" spans="1:10" x14ac:dyDescent="0.25">
      <c r="A53" s="15"/>
      <c r="B53" s="15"/>
      <c r="C53" s="15"/>
      <c r="D53" s="15"/>
      <c r="E53" s="15"/>
      <c r="F53" s="15"/>
      <c r="G53" s="15"/>
      <c r="H53" s="15"/>
      <c r="I53" s="15"/>
      <c r="J53" s="15"/>
    </row>
    <row r="55" spans="1:10" ht="15.75" x14ac:dyDescent="0.25">
      <c r="A55" s="3" t="s">
        <v>25</v>
      </c>
      <c r="B55" t="str">
        <f>IF(OR(AND(C2="IT",F2&gt;95,E2&gt;90000),AND(C2="Sales",E2&gt;120000,G2="Excellent")),"Selected","Rejected")</f>
        <v>Rejected</v>
      </c>
    </row>
    <row r="57" spans="1:10" ht="15" customHeight="1" x14ac:dyDescent="0.25">
      <c r="A57" s="9" t="s">
        <v>117</v>
      </c>
      <c r="B57" s="9"/>
      <c r="C57" s="9"/>
      <c r="D57" s="9"/>
      <c r="E57" s="9"/>
      <c r="F57" s="9"/>
      <c r="G57" s="9"/>
      <c r="H57" s="9"/>
      <c r="I57" s="9"/>
      <c r="J57" s="9"/>
    </row>
    <row r="58" spans="1:10" x14ac:dyDescent="0.25">
      <c r="A58" s="9"/>
      <c r="B58" s="9"/>
      <c r="C58" s="9"/>
      <c r="D58" s="9"/>
      <c r="E58" s="9"/>
      <c r="F58" s="9"/>
      <c r="G58" s="9"/>
      <c r="H58" s="9"/>
      <c r="I58" s="9"/>
      <c r="J58" s="9"/>
    </row>
    <row r="59" spans="1:10" x14ac:dyDescent="0.25">
      <c r="A59" s="9"/>
      <c r="B59" s="9"/>
      <c r="C59" s="9"/>
      <c r="D59" s="9"/>
      <c r="E59" s="9"/>
      <c r="F59" s="9"/>
      <c r="G59" s="9"/>
      <c r="H59" s="9"/>
      <c r="I59" s="9"/>
      <c r="J59" s="9"/>
    </row>
    <row r="60" spans="1:10" x14ac:dyDescent="0.25">
      <c r="A60" s="9"/>
      <c r="B60" s="9"/>
      <c r="C60" s="9"/>
      <c r="D60" s="9"/>
      <c r="E60" s="9"/>
      <c r="F60" s="9"/>
      <c r="G60" s="9"/>
      <c r="H60" s="9"/>
      <c r="I60" s="9"/>
      <c r="J60" s="9"/>
    </row>
    <row r="61" spans="1:10" x14ac:dyDescent="0.25">
      <c r="A61" s="9"/>
      <c r="B61" s="9"/>
      <c r="C61" s="9"/>
      <c r="D61" s="9"/>
      <c r="E61" s="9"/>
      <c r="F61" s="9"/>
      <c r="G61" s="9"/>
      <c r="H61" s="9"/>
      <c r="I61" s="9"/>
      <c r="J61" s="9"/>
    </row>
    <row r="62" spans="1:10" x14ac:dyDescent="0.25">
      <c r="A62" s="9"/>
      <c r="B62" s="9"/>
      <c r="C62" s="9"/>
      <c r="D62" s="9"/>
      <c r="E62" s="9"/>
      <c r="F62" s="9"/>
      <c r="G62" s="9"/>
      <c r="H62" s="9"/>
      <c r="I62" s="9"/>
      <c r="J62" s="9"/>
    </row>
    <row r="64" spans="1:10" ht="15.75" x14ac:dyDescent="0.25">
      <c r="A64" s="3" t="s">
        <v>25</v>
      </c>
      <c r="B64" t="str">
        <f>IF(OR(AND(H2&gt;8,F2&gt;95),AND(E2&gt;100000,D2&lt;80000),AND(G2="Excellent",C2="IT")),"Eligible","Not Eligible")</f>
        <v>Eligible</v>
      </c>
    </row>
    <row r="66" spans="1:10" x14ac:dyDescent="0.25">
      <c r="A66" s="9" t="s">
        <v>119</v>
      </c>
      <c r="B66" s="15"/>
      <c r="C66" s="15"/>
      <c r="D66" s="15"/>
      <c r="E66" s="15"/>
      <c r="F66" s="15"/>
      <c r="G66" s="15"/>
      <c r="H66" s="15"/>
      <c r="I66" s="15"/>
      <c r="J66" s="15"/>
    </row>
    <row r="67" spans="1:10" x14ac:dyDescent="0.25">
      <c r="A67" s="15"/>
      <c r="B67" s="15"/>
      <c r="C67" s="15"/>
      <c r="D67" s="15"/>
      <c r="E67" s="15"/>
      <c r="F67" s="15"/>
      <c r="G67" s="15"/>
      <c r="H67" s="15"/>
      <c r="I67" s="15"/>
      <c r="J67" s="15"/>
    </row>
    <row r="68" spans="1:10" x14ac:dyDescent="0.25">
      <c r="A68" s="15"/>
      <c r="B68" s="15"/>
      <c r="C68" s="15"/>
      <c r="D68" s="15"/>
      <c r="E68" s="15"/>
      <c r="F68" s="15"/>
      <c r="G68" s="15"/>
      <c r="H68" s="15"/>
      <c r="I68" s="15"/>
      <c r="J68" s="15"/>
    </row>
    <row r="69" spans="1:10" x14ac:dyDescent="0.25">
      <c r="A69" s="15"/>
      <c r="B69" s="15"/>
      <c r="C69" s="15"/>
      <c r="D69" s="15"/>
      <c r="E69" s="15"/>
      <c r="F69" s="15"/>
      <c r="G69" s="15"/>
      <c r="H69" s="15"/>
      <c r="I69" s="15"/>
      <c r="J69" s="15"/>
    </row>
    <row r="70" spans="1:10" x14ac:dyDescent="0.25">
      <c r="A70" s="15"/>
      <c r="B70" s="15"/>
      <c r="C70" s="15"/>
      <c r="D70" s="15"/>
      <c r="E70" s="15"/>
      <c r="F70" s="15"/>
      <c r="G70" s="15"/>
      <c r="H70" s="15"/>
      <c r="I70" s="15"/>
      <c r="J70" s="15"/>
    </row>
    <row r="71" spans="1:10" x14ac:dyDescent="0.25">
      <c r="A71" s="15"/>
      <c r="B71" s="15"/>
      <c r="C71" s="15"/>
      <c r="D71" s="15"/>
      <c r="E71" s="15"/>
      <c r="F71" s="15"/>
      <c r="G71" s="15"/>
      <c r="H71" s="15"/>
      <c r="I71" s="15"/>
      <c r="J71" s="15"/>
    </row>
    <row r="73" spans="1:10" ht="15.75" x14ac:dyDescent="0.25">
      <c r="A73" s="3" t="s">
        <v>25</v>
      </c>
      <c r="B73" t="str">
        <f>IF(OR(AND(F2&lt;90,E2&lt;80000),G2="Average",AND(D2&lt;50000,H2&lt;4)),"Required","Not Required")</f>
        <v>Not Required</v>
      </c>
    </row>
    <row r="75" spans="1:10" x14ac:dyDescent="0.25">
      <c r="A75" s="9" t="s">
        <v>121</v>
      </c>
      <c r="B75" s="15"/>
      <c r="C75" s="15"/>
      <c r="D75" s="15"/>
      <c r="E75" s="15"/>
      <c r="F75" s="15"/>
      <c r="G75" s="15"/>
      <c r="H75" s="15"/>
      <c r="I75" s="15"/>
      <c r="J75" s="15"/>
    </row>
    <row r="76" spans="1:10" x14ac:dyDescent="0.25">
      <c r="A76" s="15"/>
      <c r="B76" s="15"/>
      <c r="C76" s="15"/>
      <c r="D76" s="15"/>
      <c r="E76" s="15"/>
      <c r="F76" s="15"/>
      <c r="G76" s="15"/>
      <c r="H76" s="15"/>
      <c r="I76" s="15"/>
      <c r="J76" s="15"/>
    </row>
    <row r="77" spans="1:10" x14ac:dyDescent="0.25">
      <c r="A77" s="15"/>
      <c r="B77" s="15"/>
      <c r="C77" s="15"/>
      <c r="D77" s="15"/>
      <c r="E77" s="15"/>
      <c r="F77" s="15"/>
      <c r="G77" s="15"/>
      <c r="H77" s="15"/>
      <c r="I77" s="15"/>
      <c r="J77" s="15"/>
    </row>
    <row r="78" spans="1:10" x14ac:dyDescent="0.25">
      <c r="A78" s="15"/>
      <c r="B78" s="15"/>
      <c r="C78" s="15"/>
      <c r="D78" s="15"/>
      <c r="E78" s="15"/>
      <c r="F78" s="15"/>
      <c r="G78" s="15"/>
      <c r="H78" s="15"/>
      <c r="I78" s="15"/>
      <c r="J78" s="15"/>
    </row>
    <row r="80" spans="1:10" ht="15.75" x14ac:dyDescent="0.25">
      <c r="A80" s="3" t="s">
        <v>25</v>
      </c>
      <c r="B80" t="str">
        <f>IF(OR(AND(E2&gt;100000,F2&gt;95,G2="Excellent"),AND(H2&gt;8,D2&gt;80000)),"Eligible","Not Eligible")</f>
        <v>Not Eligible</v>
      </c>
    </row>
  </sheetData>
  <mergeCells count="9">
    <mergeCell ref="A75:J78"/>
    <mergeCell ref="A49:J53"/>
    <mergeCell ref="A57:J62"/>
    <mergeCell ref="A66:J71"/>
    <mergeCell ref="A32:J36"/>
    <mergeCell ref="A41:J45"/>
    <mergeCell ref="A11:B11"/>
    <mergeCell ref="A13:J18"/>
    <mergeCell ref="A22:J28"/>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Task_1</vt:lpstr>
      <vt:lpstr>Task_2</vt:lpstr>
      <vt:lpstr>Task_3</vt:lpstr>
      <vt:lpstr>Task_4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2026-05-26T16:30:10Z</dcterms:created>
  <dcterms:modified xsi:type="dcterms:W3CDTF">2026-05-30T16:05:07Z</dcterms:modified>
</cp:coreProperties>
</file>